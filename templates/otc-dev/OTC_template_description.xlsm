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S:\Misc\CAP_OTC\02 Functional\02. OTC Solution\02 Functional Design IRS\Margin Calculator\Release 20.0\Templates\"/>
    </mc:Choice>
  </mc:AlternateContent>
  <xr:revisionPtr revIDLastSave="0" documentId="13_ncr:1_{311CADBB-1B51-4C89-86C5-E242BE463ED7}" xr6:coauthVersionLast="47" xr6:coauthVersionMax="47" xr10:uidLastSave="{00000000-0000-0000-0000-000000000000}"/>
  <bookViews>
    <workbookView xWindow="38280" yWindow="-15" windowWidth="38640" windowHeight="21120" tabRatio="829" activeTab="1" xr2:uid="{00000000-000D-0000-FFFF-FFFF00000000}"/>
  </bookViews>
  <sheets>
    <sheet name="Title page" sheetId="4" r:id="rId1"/>
    <sheet name="Change log" sheetId="16" r:id="rId2"/>
    <sheet name="OTC portfolio template" sheetId="1" r:id="rId3"/>
    <sheet name="Sheet3" sheetId="3" state="hidden" r:id="rId4"/>
    <sheet name="IRS" sheetId="6" r:id="rId5"/>
    <sheet name="Trades with stubs" sheetId="10" r:id="rId6"/>
    <sheet name="ZC Swap" sheetId="26" r:id="rId7"/>
    <sheet name="FRA" sheetId="7" r:id="rId8"/>
    <sheet name="VNS" sheetId="5" r:id="rId9"/>
    <sheet name="OIS" sheetId="8" r:id="rId10"/>
    <sheet name="Basis swap" sheetId="9" r:id="rId11"/>
    <sheet name="ZCIS" sheetId="27" r:id="rId12"/>
    <sheet name="SCIS" sheetId="45" r:id="rId13"/>
    <sheet name="Trade Insert" sheetId="19" r:id="rId14"/>
    <sheet name="FI_EQ Template" sheetId="17" r:id="rId15"/>
    <sheet name="(Flex) Futures" sheetId="20" r:id="rId16"/>
    <sheet name="Swap Futures" sheetId="40" r:id="rId17"/>
    <sheet name="(Flex) Options" sheetId="44" r:id="rId18"/>
    <sheet name="Listed product portfolio" sheetId="18" r:id="rId19"/>
    <sheet name="OTC Sensitivities Template" sheetId="24" r:id="rId20"/>
    <sheet name="FXNDF Template" sheetId="39" r:id="rId21"/>
    <sheet name="FXNDF" sheetId="38" r:id="rId22"/>
  </sheets>
  <definedNames>
    <definedName name="_xlnm._FilterDatabase" localSheetId="9" hidden="1">OIS!$A$4:$BA$4</definedName>
    <definedName name="_xlnm._FilterDatabase" localSheetId="8" hidden="1">VNS!$A$4:$BA$13</definedName>
    <definedName name="_ftn1" localSheetId="4">IRS!$L$35</definedName>
    <definedName name="_ftn1" localSheetId="5">'Trades with stubs'!$L$49</definedName>
    <definedName name="_ftn2" localSheetId="4">IRS!$L$36</definedName>
    <definedName name="_ftn2" localSheetId="5">'Trades with stubs'!$L$50</definedName>
    <definedName name="_ftn3" localSheetId="4">IRS!$L$37</definedName>
    <definedName name="_ftn3" localSheetId="5">'Trades with stubs'!$L$51</definedName>
    <definedName name="_ftnref1" localSheetId="4">IRS!$L$28</definedName>
    <definedName name="_ftnref1" localSheetId="5">'Trades with stubs'!$L$42</definedName>
    <definedName name="_ftnref2" localSheetId="4">IRS!$L$29</definedName>
    <definedName name="_ftnref2" localSheetId="5">'Trades with stubs'!$L$43</definedName>
    <definedName name="_ftnref3" localSheetId="4">IRS!$L$31</definedName>
    <definedName name="_ftnref3" localSheetId="5">'Trades with stubs'!$L$45</definedName>
    <definedName name="_IDVTrackerBlocked72_H" hidden="1">0</definedName>
    <definedName name="_IDVTrackerBlocked72_P" hidden="1">0</definedName>
    <definedName name="_IDVTrackerEx72_H" hidden="1">0</definedName>
    <definedName name="_IDVTrackerEx72_P" hidden="1">0</definedName>
    <definedName name="_IDVTrackerFreigabeDateiID72_H" hidden="1">-1</definedName>
    <definedName name="_IDVTrackerFreigabeDateiID72_P" hidden="1">-1</definedName>
    <definedName name="_IDVTrackerFreigabeStatus72_H" hidden="1">0</definedName>
    <definedName name="_IDVTrackerFreigabeStatus72_P" hidden="1">0</definedName>
    <definedName name="_IDVTrackerFreigabeVersion72_H" hidden="1">-1</definedName>
    <definedName name="_IDVTrackerFreigabeVersion72_P" hidden="1">-1</definedName>
    <definedName name="_IDVTrackerID72_H" hidden="1">1025712</definedName>
    <definedName name="_IDVTrackerID72_P" hidden="1">3883128</definedName>
    <definedName name="_IDVTrackerMajorVersion72_H" hidden="1">1</definedName>
    <definedName name="_IDVTrackerMajorVersion72_P" hidden="1">1</definedName>
    <definedName name="_IDVTrackerMinorVersion72_H" hidden="1">0</definedName>
    <definedName name="_IDVTrackerMinorVersion72_P" hidden="1">0</definedName>
    <definedName name="_IDVTrackerVersion72_H" hidden="1">4</definedName>
    <definedName name="_IDVTrackerVersion72_P" hidden="1">31</definedName>
    <definedName name="_Ref329849938" localSheetId="4">IRS!$L$31</definedName>
    <definedName name="_Ref329849938" localSheetId="5">'Trades with stubs'!$L$45</definedName>
    <definedName name="L13xl56">'OTC portfolio template'!$N$14</definedName>
  </definedNames>
  <calcPr calcId="145621"/>
</workbook>
</file>

<file path=xl/sharedStrings.xml><?xml version="1.0" encoding="utf-8"?>
<sst xmlns="http://schemas.openxmlformats.org/spreadsheetml/2006/main" count="2642" uniqueCount="524">
  <si>
    <t>OIS</t>
  </si>
  <si>
    <t>VNS</t>
  </si>
  <si>
    <t>Trade Type</t>
  </si>
  <si>
    <t>FRA</t>
  </si>
  <si>
    <t>EUR</t>
  </si>
  <si>
    <t>GBP</t>
  </si>
  <si>
    <t>FLOAT</t>
  </si>
  <si>
    <t>Payment Period</t>
  </si>
  <si>
    <t>3M</t>
  </si>
  <si>
    <t>6M</t>
  </si>
  <si>
    <t>12M</t>
  </si>
  <si>
    <t>Compounding</t>
  </si>
  <si>
    <t>Compounding Index Period</t>
  </si>
  <si>
    <t>Stub</t>
  </si>
  <si>
    <t>Notional</t>
  </si>
  <si>
    <t>CCY</t>
  </si>
  <si>
    <t>Pay Leg</t>
  </si>
  <si>
    <t>Type</t>
  </si>
  <si>
    <t>Rate(%) or Spread (BP)</t>
  </si>
  <si>
    <t>Receive Leg</t>
  </si>
  <si>
    <t>Daycount Method</t>
  </si>
  <si>
    <t>Business Day Convention</t>
  </si>
  <si>
    <t>Payment Calendar</t>
  </si>
  <si>
    <t>Roll Method</t>
  </si>
  <si>
    <t>Index</t>
  </si>
  <si>
    <t>1st Interpolation Tenor</t>
  </si>
  <si>
    <t>2nd Interpolation Tenor</t>
  </si>
  <si>
    <t>Adjustment</t>
  </si>
  <si>
    <t>Internal Trade Id</t>
  </si>
  <si>
    <t>EURIBOR</t>
  </si>
  <si>
    <t>IRS</t>
  </si>
  <si>
    <t>Basis swap</t>
  </si>
  <si>
    <t>FIX</t>
  </si>
  <si>
    <t>30/360</t>
  </si>
  <si>
    <t>1W</t>
  </si>
  <si>
    <t>Standard</t>
  </si>
  <si>
    <t>4M</t>
  </si>
  <si>
    <t>7M</t>
  </si>
  <si>
    <t>10M</t>
  </si>
  <si>
    <t>ACT/360</t>
  </si>
  <si>
    <t>EUTA</t>
  </si>
  <si>
    <t>GBLO</t>
  </si>
  <si>
    <t>Interest Fixed Amount</t>
  </si>
  <si>
    <t>ADJUSTED</t>
  </si>
  <si>
    <t>UNADJUSTED</t>
  </si>
  <si>
    <t>MODFOLLOWING</t>
  </si>
  <si>
    <t>Field description</t>
  </si>
  <si>
    <t>Format</t>
  </si>
  <si>
    <t>Allowed values</t>
  </si>
  <si>
    <t>Field Description</t>
  </si>
  <si>
    <t>Trade currency</t>
  </si>
  <si>
    <t>Yes</t>
  </si>
  <si>
    <t>No</t>
  </si>
  <si>
    <t>Date</t>
  </si>
  <si>
    <t>Alphanumeric number. No special characters allowed</t>
  </si>
  <si>
    <t xml:space="preserve">Product type </t>
  </si>
  <si>
    <t>Flat, Straight</t>
  </si>
  <si>
    <t>Number</t>
  </si>
  <si>
    <t>String</t>
  </si>
  <si>
    <t xml:space="preserve">String </t>
  </si>
  <si>
    <t>DD/MM/YYYY</t>
  </si>
  <si>
    <t>1M, 3M, 6M, 12M</t>
  </si>
  <si>
    <t>Payment period</t>
  </si>
  <si>
    <t xml:space="preserve">Convention for adjusting any relevant date if it would otherwise fall on a day that is not a Business Day. 
Allowed date rolling conventions are:
- Modified following business day: The relevant date is rolled to the next business day, unless doing so would cause the relevant date to be in the next calendar month, in which case the date is rolled to the preceding business day. 
- Preceding business day: The relevant date is rolled to the previous business day. 
- Following business day: The relevant date is rolled to the first following day that is a business day. </t>
  </si>
  <si>
    <t xml:space="preserve">See the pay leg </t>
  </si>
  <si>
    <t>Notional of the pay leg. Only one currency per IRS. No restrictions apply to the size but it has to be greater zero.</t>
  </si>
  <si>
    <t>Number, greater than zero.</t>
  </si>
  <si>
    <t xml:space="preserve"> The date the swap begins to accrue interest. </t>
  </si>
  <si>
    <t xml:space="preserve">Maturity date of the trade.The last day of the Term of the Swap Transaction. </t>
  </si>
  <si>
    <t>Day count methods affect the accrued interest calculation.</t>
  </si>
  <si>
    <t>Yes. For ZC swap with Fixed Amount on this leg the field is empty.</t>
  </si>
  <si>
    <t>PlainVanillaswap1</t>
  </si>
  <si>
    <t>Optional field</t>
  </si>
  <si>
    <t>Mandatory field</t>
  </si>
  <si>
    <t>Not relevant</t>
  </si>
  <si>
    <t>IRS Example</t>
  </si>
  <si>
    <t>Overnight Index Swap (OIS) Example</t>
  </si>
  <si>
    <t>Variable Notional Swap Example</t>
  </si>
  <si>
    <t>Portfolio template</t>
  </si>
  <si>
    <t>Forward Rate Agreement (FRA) Example</t>
  </si>
  <si>
    <t>Basis Swap Example</t>
  </si>
  <si>
    <t>Trades with Stubs Example</t>
  </si>
  <si>
    <t>Rate index</t>
  </si>
  <si>
    <t>For VNS trades only, start date of each period in  a VNS schedule on this leg</t>
  </si>
  <si>
    <t>No (exception: VNS with a schedule on this leg)</t>
  </si>
  <si>
    <t>No (exception: compounding swaps and when the compounding index period is filled in)</t>
  </si>
  <si>
    <t>No (exception: compounding swap)</t>
  </si>
  <si>
    <t xml:space="preserve">Number (dot as separator). The cell value will be divided by 100 for rate by 10000 for spread </t>
  </si>
  <si>
    <t>No (exception: ZC swap with Fixed Amount on fixed leg)</t>
  </si>
  <si>
    <t>Contract can be rolled on  standard or IMM dates. The IMM dates are the four quarterly dates of each year which most futures contracts and option contracts use as their scheduled maturity date or termination date. The dates are the third Wednesday of March, June, September and December (i.e., between the 15th and 21st, whichever such day is a Wednesday). If no value is entered by the user, STANDARD value is set per default. Standard means rolling from the back, i.e. when the trade ends on 25th (day of the month), previous period end date will be on 25th.</t>
  </si>
  <si>
    <t>Compounding period; corresponds to the index tenor.</t>
  </si>
  <si>
    <t>Straight compounding: Interest on interest is paid both on floating rate and spread amounts.
Flat compounding: Interest on interest is paid on floating rate amounts, spread is paid on initial notional.</t>
  </si>
  <si>
    <t xml:space="preserve">Date </t>
  </si>
  <si>
    <t>Change</t>
  </si>
  <si>
    <t>Document version</t>
  </si>
  <si>
    <t>29.07.2013</t>
  </si>
  <si>
    <t>Initial version</t>
  </si>
  <si>
    <t>14.08.2013</t>
  </si>
  <si>
    <t>ADJUSTED, UNADJUSTED, MAT_UNADJUSTED</t>
  </si>
  <si>
    <t>30.08.2013</t>
  </si>
  <si>
    <t xml:space="preserve">Deletion of the Product Definitions as they will be handled in a separate document. </t>
  </si>
  <si>
    <t>Change of the Release number on the title page to 2.1.</t>
  </si>
  <si>
    <t xml:space="preserve"> The adjustment applies to the payment dates and the calculation period dates. If “ADJUSTED” is specified then the actual business dates are used to calculate the year fractions (day count fractions). 
If the deal is “unadjusted” then the theoretical dates are used instead. If no value is entered by the user, ADJUSTED value is set per default. MAT_UNADJUSTED means the same as ADJUSTED, except for the payment on the Maturity Date, which is “UNADJUSTED”.</t>
  </si>
  <si>
    <t>04.09.2013</t>
  </si>
  <si>
    <t>Additional allowed business centers (calendar values)  included. Change of the adjustement value to MAT_UNADJUSTED. The description of MAT_UNADJUSTED value was added.</t>
  </si>
  <si>
    <t>Change of the template version to 2. Trade template versions one and two are compatible.</t>
  </si>
  <si>
    <t>10.09.2013</t>
  </si>
  <si>
    <t>Trade Template version 3: Changes for JPY trades included: JPY as a currency and JPTO as a payment calendar. An example of IRS in JPY was added.</t>
  </si>
  <si>
    <t>Effective Date (DD/MM/YYYY)</t>
  </si>
  <si>
    <t>Termination Date  (DD/MM/YYYY)</t>
  </si>
  <si>
    <t>Period start (VNS) (DD/MM/YYYY)</t>
  </si>
  <si>
    <t>1st Rate (%)</t>
  </si>
  <si>
    <t>02.10.2013</t>
  </si>
  <si>
    <t>Change of the template version to 3. Trade template versions two and three are compatible.</t>
  </si>
  <si>
    <t>11.02.2014</t>
  </si>
  <si>
    <t xml:space="preserve">Description of the FI/EQ template added </t>
  </si>
  <si>
    <t>Product Templates</t>
  </si>
  <si>
    <t>Margin Calculator Trade Template FI/EQ V1</t>
  </si>
  <si>
    <t>Product ID</t>
  </si>
  <si>
    <t>Version Number</t>
  </si>
  <si>
    <t>Product Settlement Type</t>
  </si>
  <si>
    <t>Call Put Flag</t>
  </si>
  <si>
    <t>Exercise Price</t>
  </si>
  <si>
    <t>Exercise Style Flag</t>
  </si>
  <si>
    <t>Assigned/Notified Balance</t>
  </si>
  <si>
    <t>Exercised/Allocated Balance</t>
  </si>
  <si>
    <t>Long Balance</t>
  </si>
  <si>
    <t>Short Balance</t>
  </si>
  <si>
    <t>Adding description of the INSERT TRADE button.</t>
  </si>
  <si>
    <t>The version number indicates that some change has been made to the derivative contract due to corporate actions etc. and represents a new series being generated with a different version. Required for Options and Flex Options. Zero or blank for Futures and Flex Futures.</t>
  </si>
  <si>
    <t>Either option, future, flex future or flex options.</t>
  </si>
  <si>
    <t>Flex Future</t>
  </si>
  <si>
    <t>YYYY</t>
  </si>
  <si>
    <t>The year in which the series is expiring.</t>
  </si>
  <si>
    <t>MM</t>
  </si>
  <si>
    <t>DD</t>
  </si>
  <si>
    <t>Expiry Year (YYYY)</t>
  </si>
  <si>
    <t>Expiry Month (MM)</t>
  </si>
  <si>
    <t>Expiry Day            (DD)</t>
  </si>
  <si>
    <t xml:space="preserve">The month in which the series is expiring. </t>
  </si>
  <si>
    <t xml:space="preserve">The date on which the series is expiring. </t>
  </si>
  <si>
    <t>C</t>
  </si>
  <si>
    <t>C, P</t>
  </si>
  <si>
    <t>EUROPEAN, AMERICAN</t>
  </si>
  <si>
    <t>Option, Flex Option, Future, Flex Future</t>
  </si>
  <si>
    <t>N, C, S, D ,P</t>
  </si>
  <si>
    <t>17.02.2014</t>
  </si>
  <si>
    <t xml:space="preserve">Yes, for Options and Flex Options. </t>
  </si>
  <si>
    <t xml:space="preserve">Number of assigned or notified positions. </t>
  </si>
  <si>
    <t>Number of exercised or allocated positions.</t>
  </si>
  <si>
    <t>Number of long positions.</t>
  </si>
  <si>
    <t xml:space="preserve">Number of short positions. </t>
  </si>
  <si>
    <t xml:space="preserve">0-9 or blank </t>
  </si>
  <si>
    <t>1 character</t>
  </si>
  <si>
    <t>1 - 31</t>
  </si>
  <si>
    <t>Non-negative value (can be zero).</t>
  </si>
  <si>
    <t>Example of listed product portfolio in the FI/EQ template added</t>
  </si>
  <si>
    <t>Future</t>
  </si>
  <si>
    <t>EUROPEAN</t>
  </si>
  <si>
    <t>Option</t>
  </si>
  <si>
    <t>Flex Option</t>
  </si>
  <si>
    <t>The lump sum paid at maturity of the zero coupon swap. Allowed for a fixed leg; For floating leg this feature is not supported.</t>
  </si>
  <si>
    <t>Exercised/ Allocated Balance</t>
  </si>
  <si>
    <t>Note regarding the leg type values added.</t>
  </si>
  <si>
    <t>FIX, FLOAT*</t>
  </si>
  <si>
    <t>Pay leg  type: FIX or FLOAT</t>
  </si>
  <si>
    <t>Interest rate if the pay leg type is FIX or a spread if the pay leg type is FLOAT</t>
  </si>
  <si>
    <t>Yes, for leg type = FIX optional if leg type FLOAT</t>
  </si>
  <si>
    <t>Yes, for FIX, optional if FLOAT</t>
  </si>
  <si>
    <t>Yes, for leg type = FLOAT</t>
  </si>
  <si>
    <t>1 - 12</t>
  </si>
  <si>
    <t>0-9 (or blank for Futures and Flex Futures)</t>
  </si>
  <si>
    <t>ALV</t>
  </si>
  <si>
    <t>P</t>
  </si>
  <si>
    <t>AMERICAN</t>
  </si>
  <si>
    <t>Default values when using Trade Insert defined in the tab "Trade Insert"</t>
  </si>
  <si>
    <t>24.02.2015</t>
  </si>
  <si>
    <t>This sheet defines the default values when the trade was entered using Insert Trade functionality</t>
  </si>
  <si>
    <t>1,2…</t>
  </si>
  <si>
    <t>Defined by the user</t>
  </si>
  <si>
    <t>Both the calculation of margin with and without cross-margining between OTC and listed trades is possible.</t>
  </si>
  <si>
    <t xml:space="preserve">Introduction added on the title page </t>
  </si>
  <si>
    <t>12.03.2014</t>
  </si>
  <si>
    <t>Futures, Flex Futures, Options and Flex Options tabs added.</t>
  </si>
  <si>
    <t>Future Example</t>
  </si>
  <si>
    <t xml:space="preserve">Number  (dot as separator). The cell value will be divided by 100 for rate , by 10000 for spread </t>
  </si>
  <si>
    <t>12.09.2014</t>
  </si>
  <si>
    <t>EUR.EURIBOR</t>
  </si>
  <si>
    <t>GBP.SONIA</t>
  </si>
  <si>
    <t>USD.FEDFUNDS</t>
  </si>
  <si>
    <t>JPY. TONAR</t>
  </si>
  <si>
    <t>EUR.HICPxT</t>
  </si>
  <si>
    <t xml:space="preserve">EUR.FRCPIx </t>
  </si>
  <si>
    <t>ON</t>
  </si>
  <si>
    <t>1M</t>
  </si>
  <si>
    <t>2M</t>
  </si>
  <si>
    <t>9M</t>
  </si>
  <si>
    <t>1Y</t>
  </si>
  <si>
    <t>2W</t>
  </si>
  <si>
    <t>3W</t>
  </si>
  <si>
    <t>5M</t>
  </si>
  <si>
    <t>8M</t>
  </si>
  <si>
    <t>11M</t>
  </si>
  <si>
    <t>15M</t>
  </si>
  <si>
    <t>18M</t>
  </si>
  <si>
    <t>21M</t>
  </si>
  <si>
    <t>2Y</t>
  </si>
  <si>
    <t>3Y</t>
  </si>
  <si>
    <t>4Y</t>
  </si>
  <si>
    <t>5Y</t>
  </si>
  <si>
    <t>6Y</t>
  </si>
  <si>
    <t>7Y</t>
  </si>
  <si>
    <t>8Y</t>
  </si>
  <si>
    <t>9Y</t>
  </si>
  <si>
    <t>10Y</t>
  </si>
  <si>
    <t>11Y</t>
  </si>
  <si>
    <t>12Y</t>
  </si>
  <si>
    <t>15Y</t>
  </si>
  <si>
    <t>20Y</t>
  </si>
  <si>
    <t>25Y</t>
  </si>
  <si>
    <t>30Y</t>
  </si>
  <si>
    <t>40Y</t>
  </si>
  <si>
    <t>50Y</t>
  </si>
  <si>
    <t>OTC sensitivities template added</t>
  </si>
  <si>
    <t>MODFOLLOWING, FOLLOWING, PRECEDING</t>
  </si>
  <si>
    <t xml:space="preserve"> GBP.UK-RPI</t>
  </si>
  <si>
    <t>Zero Coupon Swap Example</t>
  </si>
  <si>
    <t>ZC123</t>
  </si>
  <si>
    <t>ZERO_C</t>
  </si>
  <si>
    <t>ZC124</t>
  </si>
  <si>
    <t>FLAT</t>
  </si>
  <si>
    <t xml:space="preserve">Mandatory field? </t>
  </si>
  <si>
    <t>Non-negative value (can be zero, but no blanks allowed)</t>
  </si>
  <si>
    <t>2009 - 9999, currently active expiries</t>
  </si>
  <si>
    <t>Flag to indicate whether the option type is ‘Call’ (C) or ‘Put’ (P) Instrument. The field must be blank for Futures.</t>
  </si>
  <si>
    <t>The option style.The field must be blank for Futures.</t>
  </si>
  <si>
    <t>The ‘Strike Price’ of the options contract. The field must be blank for Futures.</t>
  </si>
  <si>
    <t>1M, 3M, 6M, 12M,
ZERO_C**</t>
  </si>
  <si>
    <t>Enumeration of trades.This number has to be unique within the uploaded file (with exception of a single VNS where each line has to have the same Internal Trade ID).</t>
  </si>
  <si>
    <t xml:space="preserve">** "ZERO_C" becomes "1T" in the csv file. 
</t>
  </si>
  <si>
    <t>Not relevant (should be left blank)</t>
  </si>
  <si>
    <t>Not relevant (should be empty)</t>
  </si>
  <si>
    <t>Zero Coupon Inflation Swap Example</t>
  </si>
  <si>
    <t>ZCIS</t>
  </si>
  <si>
    <t>HICPxT</t>
  </si>
  <si>
    <t>1/1</t>
  </si>
  <si>
    <t>FRCPIx</t>
  </si>
  <si>
    <t>UK-RPI</t>
  </si>
  <si>
    <t>An example of ZCIS added</t>
  </si>
  <si>
    <t>New values for ZCIS added to the OTC trade template: indices, day count method and product type</t>
  </si>
  <si>
    <t>07.10.2014</t>
  </si>
  <si>
    <t>30/360, 30E/360 (ISDA 2006 /DRV), 30E/360, 30E/360.ISDA, ACT/360, ACT/365.FIXED, ACT/ACT.ISDA, ACT/365.ISDA, ACT/ACT.ICMA, ACT/ACT.ISMA, 1/1</t>
  </si>
  <si>
    <t>Not relevant (should be blank)</t>
  </si>
  <si>
    <t>The settlement method applicable for the product:  cash (C), or physical delivery: shares (S), derivatives (D), notional (N), Payment v/s Payment (P) (a mechanism which ensures that the final transfer of a payment in one currency occurs if and only if the final transfer of a payment in another currency or currencies takes place).</t>
  </si>
  <si>
    <t>30/360, for ZCIS: 1/1</t>
  </si>
  <si>
    <t>IMM</t>
  </si>
  <si>
    <t>1. Calculating margins for futures before swap futures delivery date</t>
  </si>
  <si>
    <t>2. Calculating margins for interest rate swaps after swap futures delivery date</t>
  </si>
  <si>
    <t>Swap Futures tab added</t>
  </si>
  <si>
    <t>29.01.2014</t>
  </si>
  <si>
    <t xml:space="preserve">Swap Futures contracts before expiration can be seen as futures contracts. At expiration date interest rate swaps will be physically delivered based on swap futures open positions. </t>
  </si>
  <si>
    <t>Margins before and after delivery date can be calculated using Futures and IRS templates respectively.</t>
  </si>
  <si>
    <t>Comments changed on the ZC swap tab</t>
  </si>
  <si>
    <t>23.02.2014</t>
  </si>
  <si>
    <t>The Eurex ID of the respective listed product.</t>
  </si>
  <si>
    <t>3 or 4 characters. No special characters allowed</t>
  </si>
  <si>
    <t>String, 3 or 4 characters</t>
  </si>
  <si>
    <t xml:space="preserve">*in the csv file generated after pressing "Export portfolio" button, the values FIX / FLOAT  was replaced with "fixedLeg" and "floatingLeg" respectively. </t>
  </si>
  <si>
    <t>TONAR index added, OIS in JPY are allowed. An example for GMEX future was added.</t>
  </si>
  <si>
    <t>13.08.2015</t>
  </si>
  <si>
    <t>Contract Year (YYYY)</t>
  </si>
  <si>
    <t>ContractMonth (MM)</t>
  </si>
  <si>
    <t>The year of the contract</t>
  </si>
  <si>
    <t xml:space="preserve">The month of the contract </t>
  </si>
  <si>
    <t>The date of the contract.</t>
  </si>
  <si>
    <t>DKK.CIBOR</t>
  </si>
  <si>
    <t>SEK.STIBOR</t>
  </si>
  <si>
    <t>NOK.NIBOR</t>
  </si>
  <si>
    <t>PLN.WIBOR</t>
  </si>
  <si>
    <t>25.07.2016</t>
  </si>
  <si>
    <t>Adding Nordic currencies and PLN. Exteded FI&amp;EQ template (contract year, month, day) added.</t>
  </si>
  <si>
    <t>Margin Calculator Trade Template FI/EQ V2</t>
  </si>
  <si>
    <t>Margin Calculator Trade Template V7</t>
  </si>
  <si>
    <t>28.12.2016</t>
  </si>
  <si>
    <t>FX added.</t>
  </si>
  <si>
    <t>CCY Pair</t>
  </si>
  <si>
    <t>Buy</t>
  </si>
  <si>
    <t>Sell</t>
  </si>
  <si>
    <t>Change log</t>
  </si>
  <si>
    <t>OTC portfolio template</t>
  </si>
  <si>
    <t>Trades with stubs</t>
  </si>
  <si>
    <t>ZC Swap</t>
  </si>
  <si>
    <t>Trade Insert</t>
  </si>
  <si>
    <t>FI_EQ Template</t>
  </si>
  <si>
    <t>Swap Futures</t>
  </si>
  <si>
    <t>Listed product portfolio</t>
  </si>
  <si>
    <t>OTC Sensitivities Template</t>
  </si>
  <si>
    <t xml:space="preserve">Field description </t>
  </si>
  <si>
    <t>Buy, Sell</t>
  </si>
  <si>
    <t>Enumeration of trades. This number has to be unique within the uploaded file.</t>
  </si>
  <si>
    <t>Alphanumeric value</t>
  </si>
  <si>
    <t>Currency Pair</t>
  </si>
  <si>
    <t>13.02.2017</t>
  </si>
  <si>
    <t>FxSpot added.</t>
  </si>
  <si>
    <t>USD</t>
  </si>
  <si>
    <t>8.0</t>
  </si>
  <si>
    <t>M</t>
  </si>
  <si>
    <t>Mandatory (M)/optional (O)</t>
  </si>
  <si>
    <t xml:space="preserve">CCS and SARON added. </t>
  </si>
  <si>
    <t>TOIS removed.</t>
  </si>
  <si>
    <t>Fixed value</t>
  </si>
  <si>
    <t xml:space="preserve">Alphanumeric </t>
  </si>
  <si>
    <t>CHF.SARON</t>
  </si>
  <si>
    <t>6.0</t>
  </si>
  <si>
    <t>7.0</t>
  </si>
  <si>
    <t>7.1</t>
  </si>
  <si>
    <t>TABLE OF CONTENTS</t>
  </si>
  <si>
    <t>8.1</t>
  </si>
  <si>
    <t>17.01.2018</t>
  </si>
  <si>
    <t>Eurex OTC GUI Margin Calculator replaced by Prisma Margin Calculator</t>
  </si>
  <si>
    <t>22.05.2017</t>
  </si>
  <si>
    <t>16.06.2017</t>
  </si>
  <si>
    <t>1.0</t>
  </si>
  <si>
    <t>2.0</t>
  </si>
  <si>
    <t>3.0</t>
  </si>
  <si>
    <t>4.0</t>
  </si>
  <si>
    <t>5.0</t>
  </si>
  <si>
    <t>5.1</t>
  </si>
  <si>
    <t>"CCY Pair" and "Last FX Reset" made mandatory in CCS template</t>
  </si>
  <si>
    <t>16.04.2018</t>
  </si>
  <si>
    <t>9.0</t>
  </si>
  <si>
    <t xml:space="preserve">Prisma Margin Calculator </t>
  </si>
  <si>
    <r>
      <t>The purpose of the Prisma</t>
    </r>
    <r>
      <rPr>
        <sz val="11"/>
        <color theme="1"/>
        <rFont val="Calibri"/>
        <family val="2"/>
        <scheme val="minor"/>
      </rPr>
      <t xml:space="preserve"> Margin Calculator is to allow members to assess the margin requirement for a trade or a portfolio. </t>
    </r>
  </si>
  <si>
    <r>
      <t>The existing Prisma</t>
    </r>
    <r>
      <rPr>
        <sz val="11"/>
        <color theme="1"/>
        <rFont val="Calibri"/>
        <family val="2"/>
        <scheme val="minor"/>
      </rPr>
      <t xml:space="preserve"> Margin Calculator has been extended to allow a simulation of the margin for a combined porfolio consisting of OTC and listed  FI and EQ derivatives. </t>
    </r>
  </si>
  <si>
    <t>Renaming of "CCS" to "XCCY".
The expected value for the trade type of the Cross Currency Basis Swap trade remains CCS.</t>
  </si>
  <si>
    <t>9.2</t>
  </si>
  <si>
    <t>ADJUSTED, UNADJUSTED, MAT_UNADJUSTED, MAT_ADJUSTED</t>
  </si>
  <si>
    <t>added "EOM" as possible roll method and "MAT_ADJUSTED" as possible Adjustment</t>
  </si>
  <si>
    <t>USD.SOFR</t>
  </si>
  <si>
    <t>10.0</t>
  </si>
  <si>
    <t>10.1</t>
  </si>
  <si>
    <t>03.03.2020</t>
  </si>
  <si>
    <t>New index “SOFR” added to MC trade template,
New trade template for FXNDF added,
USD.SOFR.ON added to OTC Sensitivities template</t>
  </si>
  <si>
    <t>New index “ESTR” added to MC trade template,
EUR.ESTR.ON added to OTC Sensitivities template
“GBP Libor 1Y” removed from Sensitivity GUI and template</t>
  </si>
  <si>
    <t>13.08.2019</t>
  </si>
  <si>
    <t>Leg Type</t>
  </si>
  <si>
    <t>Leg CCY</t>
  </si>
  <si>
    <t>Leg Amount</t>
  </si>
  <si>
    <t>Fixing Date</t>
  </si>
  <si>
    <t>Settlement Date</t>
  </si>
  <si>
    <t>Exchange Rate</t>
  </si>
  <si>
    <t>Margin Calculator Trade Template NDF</t>
  </si>
  <si>
    <t>Alphanumeric trade identifier</t>
  </si>
  <si>
    <t>FXNDF</t>
  </si>
  <si>
    <t>Sell or Buy of the currency leg</t>
  </si>
  <si>
    <t>Amount traded in exchange currency</t>
  </si>
  <si>
    <t>Always USD since primary currency of all NDFs is always USD</t>
  </si>
  <si>
    <t>Reset Date of the NDF trade</t>
  </si>
  <si>
    <t>Valuation Date of the NDF trade</t>
  </si>
  <si>
    <t>Rate of the NDF  trade – may also be called strike
Decimal count depends on currency pair:
USD/BRL: 7 decimals
USD/KRW: 5 decimals
USD/INR: 5 decimals
USD/TWD: 6 decimals
USD/CLP: 5 decimals
USD/IDR: 3 decimals
Needs to be multiplied with forwardLegAmount to receive the amount traded in secondary currency</t>
  </si>
  <si>
    <t>NDF</t>
  </si>
  <si>
    <t>NDF Template</t>
  </si>
  <si>
    <t>USD/BRL</t>
  </si>
  <si>
    <t>USD/CLP</t>
  </si>
  <si>
    <t>USD/IDR</t>
  </si>
  <si>
    <t>USD/INR</t>
  </si>
  <si>
    <t>USD/KRW</t>
  </si>
  <si>
    <t>USD/TWD</t>
  </si>
  <si>
    <t>USD/BRL,
USD/KRW,
USD/INR,
USD/TWD,
USD/CLP,
USD/IDR</t>
  </si>
  <si>
    <t>11.0</t>
  </si>
  <si>
    <t>Updated with index for various product types in Tab: Trade Insert
Updated with ESTR, SOFR index in Tab: OTC Portfolio Template &amp; OIS</t>
  </si>
  <si>
    <t>13.07.2020</t>
  </si>
  <si>
    <t>11.2</t>
  </si>
  <si>
    <t>The version number was updated, but  functional changes were not implemented.</t>
  </si>
  <si>
    <t>12.0</t>
  </si>
  <si>
    <t>12.1</t>
  </si>
  <si>
    <t>ESTR</t>
  </si>
  <si>
    <t>EUR.ESTR</t>
  </si>
  <si>
    <t>The version number was updated,
Removed EONIA from the following Tabs: OTC portfolio template, OIS, Trade Insert, OTC Sensitivities Template</t>
  </si>
  <si>
    <t>Contract Date (YYYY-MM-DD)</t>
  </si>
  <si>
    <t>YYYY-MM-DD</t>
  </si>
  <si>
    <t>ASG5</t>
  </si>
  <si>
    <t>BEP</t>
  </si>
  <si>
    <t>2022-02-21</t>
  </si>
  <si>
    <t>2022-02-16</t>
  </si>
  <si>
    <t>FMEA</t>
  </si>
  <si>
    <t>2022-02-09</t>
  </si>
  <si>
    <t>2022-02-07</t>
  </si>
  <si>
    <t>2022-02-10</t>
  </si>
  <si>
    <t>2022-12-16</t>
  </si>
  <si>
    <t>2022-02-14</t>
  </si>
  <si>
    <t>2022-09-16</t>
  </si>
  <si>
    <t>2022-03-16</t>
  </si>
  <si>
    <t>2023-03-17</t>
  </si>
  <si>
    <t>2024-09-20</t>
  </si>
  <si>
    <t>2023-09-15</t>
  </si>
  <si>
    <t>2022-06-17</t>
  </si>
  <si>
    <t>SGM</t>
  </si>
  <si>
    <t>ADEN</t>
  </si>
  <si>
    <t>SIRB</t>
  </si>
  <si>
    <t>FSWM</t>
  </si>
  <si>
    <t>2022-03-14</t>
  </si>
  <si>
    <t>17/03/2022</t>
  </si>
  <si>
    <t>17/03/2050</t>
  </si>
  <si>
    <t>For Simulation Only
Next Generation ETD Contract changes in the following Tabs:
FI_EQ Template, Futures, Flex Futures, Swap Futures, GMEX Futures, Options, Flex Options, Listed product portfolio</t>
  </si>
  <si>
    <t>D</t>
  </si>
  <si>
    <t>13.0</t>
  </si>
  <si>
    <t>CZK.PRIBOR</t>
  </si>
  <si>
    <t>HUF.BUBOR</t>
  </si>
  <si>
    <t>(Flex) Options</t>
  </si>
  <si>
    <t>(Flex) Future Example</t>
  </si>
  <si>
    <t>(Flex) Option Example</t>
  </si>
  <si>
    <t>(Flex) Futures</t>
  </si>
  <si>
    <t>EURswap123</t>
  </si>
  <si>
    <t>The version number was updated
Next Generation ETD Contract changes in the following Tabs:
FI_EQ Template, (Flex) Futures, Swap Futures,  (Flex) Options, Listed product portfolio
Tab: Options, Flex Options deleted and new merged Tab added: (Flex) Options
Tab: Futures, Flex Futures deleted and new merged Tab added: (Flex) Futures
Removed LIBOR for CHF, GBP and JPY from the following Tabs: IRS, ZC Swap, Basis Swap, OTC Sensitivities Template
CZK and HUF currency changes in the following Tabs: OTC portfolio template, IRS, Trade Insert, OTC Sensitivities Template
Additional Payment Calendar changes in the following Tabs: OTC portfolio template</t>
  </si>
  <si>
    <t>User can enter maturity as 
a) Contract Date (recommended) or 
b) Contract Year, Contract Month (not possible for Flex Futures or Flex Options) or 
c) Expiry Year, Expiry Month, Expiry Day (Expiry Day relevant only for Flex Futures or Flex Options)</t>
  </si>
  <si>
    <t>This document describes the fields of the Margin Calculator trade templates for 
1) OTC trades 2) Listed products (FI_EQ_Template) 3) OTC portfolio sensitivities 4) Non-Deliverable Forwards (NDF)</t>
  </si>
  <si>
    <t>14.0</t>
  </si>
  <si>
    <r>
      <rPr>
        <sz val="9"/>
        <rFont val="Calibri"/>
        <family val="2"/>
      </rPr>
      <t>ATVI, BEBR, CHZU, CZPR, DEFR, DKCO, ESMA, EUTA, FIHE, FRPA, GBLO, GRAT, HUBU, IEDU, ITMI, ITRO, JPTO, NOOS, PLWA, SEST, USGS, USNY</t>
    </r>
  </si>
  <si>
    <r>
      <t xml:space="preserve">Holiday Schedule (Financial Centres):  Schedule of non-business days (excluding weekends) relevant to calculate the actual payment dates. The holiday schedule is different for each currency. </t>
    </r>
    <r>
      <rPr>
        <sz val="9"/>
        <rFont val="Calibri"/>
        <family val="2"/>
      </rPr>
      <t>The required payment calendars for each currency are: CHF - Zurich Swiss (CHZU), CZK - Prague (CZPR), DKK - Copenhagen (DKCO), EUR - EUTA (Target), GBP - London (GBLO), HUF - Budapest (HUBU), JPY - Tokyo (JPTO), NOK - Oslo (NOOS), PLN - Warsaw (PLWA), SEK - Stockholm (SEST), USD - New York (USNY). Additional allowed business centers are Vienna (ATVI), Brussels (BEBR), Frankfurt (DEFR), Madrid (ESMA), Helsinki (FIHE), Paris (FRPA), Athens (GRAT), Dublin (IEDU), Milan (ITMI), Rome (ITRO), US Government Securities (USGS). Additionally, for the payment calendars, the default calendar for the selected currency is mandatory. If a non-default calendar is selected, the system will add the default calendar to the request automatically.</t>
    </r>
  </si>
  <si>
    <r>
      <rPr>
        <sz val="9"/>
        <rFont val="Calibri"/>
        <family val="2"/>
      </rPr>
      <t xml:space="preserve">
CHF, CZK, DKK, </t>
    </r>
    <r>
      <rPr>
        <sz val="9"/>
        <rFont val="Calibri"/>
        <family val="2"/>
      </rPr>
      <t xml:space="preserve">EUR, GBP, HUF, JPY, NOK, SEK, PLN, USD </t>
    </r>
  </si>
  <si>
    <r>
      <rPr>
        <sz val="11"/>
        <rFont val="Calibri"/>
        <family val="2"/>
      </rPr>
      <t>for CZK - CZPR,</t>
    </r>
    <r>
      <rPr>
        <sz val="11"/>
        <rFont val="Calibri"/>
        <family val="2"/>
      </rPr>
      <t xml:space="preserve">
for CHF - CHZU,
for DKK - DKCO,
For EUR - EUTA, 
for GBP - GBLO, 
</t>
    </r>
    <r>
      <rPr>
        <sz val="11"/>
        <rFont val="Calibri"/>
        <family val="2"/>
      </rPr>
      <t>for HUF - HUBU,</t>
    </r>
    <r>
      <rPr>
        <sz val="11"/>
        <rFont val="Calibri"/>
        <family val="2"/>
      </rPr>
      <t xml:space="preserve">
for JPY - JPTO, 
for NOK - NOOS,
for PLN - PLWA,
for SEK - SEST, 
for USD - USNY</t>
    </r>
  </si>
  <si>
    <t>Contract Type</t>
  </si>
  <si>
    <t>60Y</t>
  </si>
  <si>
    <t>The version number was updated
Decomissioning of FX and XCCY:  Deleted the following tabs: FX Template, FX, XCCY Template, XCCY
Changes for Nordics/PLN extension in the following tabs: Basis swap, OTC Sensitivities Template
Changes for EUR IRS Extension 60Y in the following tabs: OTC Sensitivities Template
Included explanations for some fields in the following tab: FXNDF</t>
  </si>
  <si>
    <t>15.0</t>
  </si>
  <si>
    <t>The version number was updated
Removed references for USD LIBOR from the following tabs: OTC Sensitivities Template
Changes for Maximum Maturity Extension from 30 to 50 years for EUR-HICPxT in the following tab: OTC Sensitivities Template
Changes for Effective Date per leg in the following tabs: OTC portfolio template, IRS, Trades with stubs, ZC Swap, FRA, VNS, OIS, Basis swap, ZCIS, Trade Insert</t>
  </si>
  <si>
    <t>DKK.DESTR</t>
  </si>
  <si>
    <t>16.0</t>
  </si>
  <si>
    <t>The version number was updated
Changes for Introduction of OIS on DKK-DESTR in the following tab: OTC portfolio template, OIS, Trade Insert, OTC Sensitivities Template
Changes for RollMethod values: OTC portfolio template</t>
  </si>
  <si>
    <t>NONE, Standard, IMM, EOM, and all values between 1 to 30</t>
  </si>
  <si>
    <t>17.0</t>
  </si>
  <si>
    <t>BUBOR, CIBOR, CIBOR2, DESTR, ESTR, EURIBOR, FEDFUNDS, FRCPIx, HICPxT, LIBOR, NIBOR, PRIBOR, SARON, SOFR, SONIA, STIBOR, TONAR, UK-RPI, WIBOR (dependent on the currency and product type)</t>
  </si>
  <si>
    <t>Coupon Rate</t>
  </si>
  <si>
    <t>Yes, only for leg type = FLOAT with Trade Type: SCIS</t>
  </si>
  <si>
    <t>Final Exchange</t>
  </si>
  <si>
    <t>SCIS</t>
  </si>
  <si>
    <t>1.7000</t>
  </si>
  <si>
    <t>ACT/ACT.ISDA</t>
  </si>
  <si>
    <t>The version number was updated
2 new fields (Coupon rate, Final Exchange) included in the existing template. The following tabs are updated: OTC portfolio template, IRS, Trade with stubs, ZC Swap, FRA, VNS, OIS, Basis Swap, ZCIS
Introduction of SCIS. New Tab added: SCIS</t>
  </si>
  <si>
    <t>Yes, No</t>
  </si>
  <si>
    <t>Number  (dot as separator).</t>
  </si>
  <si>
    <t>Bond Coupon Rate, relevant only for Trade Type: SCIS</t>
  </si>
  <si>
    <t>Standard Coupon Inflation Swap (SCIS) : Example</t>
  </si>
  <si>
    <t>Indicates the Final Exchange of the notional, relevant only for Trade Type: SCIS</t>
  </si>
  <si>
    <t>No, but the field is only relevant for Trade Type: SCIS and both legs should have the same value</t>
  </si>
  <si>
    <t>18.0</t>
  </si>
  <si>
    <t xml:space="preserve">The version number was updated
</t>
  </si>
  <si>
    <t>IRS, Basis swap; OIS, FRA, VNS, ZCIS, SCIS . VNS may have more than one row.</t>
  </si>
  <si>
    <t xml:space="preserve">The pre-agreed rate for the floating rate fixing (for the first floating period) in units of %.
Or the Initial Index Level for Inflation Swap trades </t>
  </si>
  <si>
    <t>Number (dot as separator). The cell value will be divided by 100 for non-inflation swap trades.</t>
  </si>
  <si>
    <t>19.0</t>
  </si>
  <si>
    <t xml:space="preserve"> Release 20.0</t>
  </si>
  <si>
    <t>20.0</t>
  </si>
  <si>
    <t>Start of Regular Period (DD/MM/YYYY)</t>
  </si>
  <si>
    <t>End of Regular Period (DD/MM/YYYY)</t>
  </si>
  <si>
    <t>Initial Stub 1st Interpolation Tenor</t>
  </si>
  <si>
    <t>Initial Stub 2nd Interpolation Tenor</t>
  </si>
  <si>
    <t>Final Stub 1st Interpolation Tenor</t>
  </si>
  <si>
    <t>Final Stub 2nd Interpolation Tenor</t>
  </si>
  <si>
    <r>
      <t xml:space="preserve">Among the </t>
    </r>
    <r>
      <rPr>
        <sz val="9"/>
        <color rgb="FF00B050"/>
        <rFont val="Calibri"/>
        <family val="2"/>
      </rPr>
      <t xml:space="preserve">the supported methods for the floating rate fixings of a stub period is the selection of a dedicated floating rate index for the stub calculation period (initial or final). 
However, only the floating rate fixing tenor closest to the stub calculation period can be selected. Note that the closest floating rate tenor can be different to the tenor of the regular leg payments.
The selected tenor can be different to the regular floating rate tenor. </t>
    </r>
  </si>
  <si>
    <t xml:space="preserve">
1W, 2W, 3W, 1M, 2M, 3M, 6M, 12M</t>
  </si>
  <si>
    <t>MAT_UNADJUSTED</t>
  </si>
  <si>
    <t>30/03/2029</t>
  </si>
  <si>
    <t>26/10/2023</t>
  </si>
  <si>
    <t>30/03/2024</t>
  </si>
  <si>
    <t>PRECEDING</t>
  </si>
  <si>
    <t>GBLO,EUTA,JPTO</t>
  </si>
  <si>
    <t>25/02/2025</t>
  </si>
  <si>
    <t>25/02/2029</t>
  </si>
  <si>
    <t>25/06/2044</t>
  </si>
  <si>
    <t>20/12/2022</t>
  </si>
  <si>
    <t>25/06/2022</t>
  </si>
  <si>
    <t>ACT/ACT.ICMA</t>
  </si>
  <si>
    <t>FOLLOWING</t>
  </si>
  <si>
    <t>25/12/2022</t>
  </si>
  <si>
    <t>14/10/2025</t>
  </si>
  <si>
    <t>14/09/2024</t>
  </si>
  <si>
    <t>14/09/2025</t>
  </si>
  <si>
    <t>14/12/2024</t>
  </si>
  <si>
    <t>14/03/2025</t>
  </si>
  <si>
    <t>14/06/2025</t>
  </si>
  <si>
    <t>29/12/2028</t>
  </si>
  <si>
    <t>31/12/2024</t>
  </si>
  <si>
    <t>EOM</t>
  </si>
  <si>
    <t>31/03/2025</t>
  </si>
  <si>
    <t>30/06/2025</t>
  </si>
  <si>
    <t>30/09/2025</t>
  </si>
  <si>
    <t>31/12/2025</t>
  </si>
  <si>
    <t>31/03/2026</t>
  </si>
  <si>
    <t>30/06/2026</t>
  </si>
  <si>
    <t>30/09/2026</t>
  </si>
  <si>
    <t>31/12/2026</t>
  </si>
  <si>
    <t>31/03/2027</t>
  </si>
  <si>
    <t>30/06/2027</t>
  </si>
  <si>
    <t>30/09/2027</t>
  </si>
  <si>
    <t>31/12/2027</t>
  </si>
  <si>
    <t>31/03/2028</t>
  </si>
  <si>
    <t>30/06/2028</t>
  </si>
  <si>
    <t>30/09/2028</t>
  </si>
  <si>
    <t>Remarks</t>
  </si>
  <si>
    <t>IRS with total 4 stubs, i.e. 2 stubs(initial and final) on fixed leg and 2 stubs(initial and final) on float leg</t>
  </si>
  <si>
    <t>IRS with total 2 stubs, i.e. 1 stub(initial) on fixed leg and 1 stub(initial) on float leg</t>
  </si>
  <si>
    <t>IRS with total 2 stubs, i.e. 1 stub(final) on fixed leg and 1 stub(final) on float leg</t>
  </si>
  <si>
    <t>IRS with total 1 stub, i.e. 1 stub(final) on fixed leg and no stub on float leg</t>
  </si>
  <si>
    <t>VNS with total 4 stubs, i.e. 2 stubs(initial and final) on fixed leg and 2 stubs(initial and final) on float leg</t>
  </si>
  <si>
    <t>VNS with total 2 stubs, i.e. 1 stub(final) on fixed leg and 1 stub(final) on float leg</t>
  </si>
  <si>
    <t>27/08/2026</t>
  </si>
  <si>
    <t>EuroSTR</t>
  </si>
  <si>
    <t>27/08/2024</t>
  </si>
  <si>
    <t>OIS with total 2 stubs, i.e. 1 stub(initial) on fixed leg and 1 stub(initial) on float leg</t>
  </si>
  <si>
    <t>Basis Swap with total 2 stubs, i.e. 1 stub(final) on 1st float leg and 1 stub(final) on 2nd float leg</t>
  </si>
  <si>
    <t>IRS with total 1 stub, i.e. no stub on fixed leg and 1 stub(initial) on float leg</t>
  </si>
  <si>
    <t>Yes, if the trade has initial  or start stub</t>
  </si>
  <si>
    <t>Yes, if the trade has final or end stub</t>
  </si>
  <si>
    <t>Yes, only for leg type = FLOAT when trade has initial or start stub</t>
  </si>
  <si>
    <t>Yes, only for leg type = FLOAT when trade has initial or start stub and linear interpolation</t>
  </si>
  <si>
    <t>Yes, only for leg type = FLOAT when trade has final or end stub</t>
  </si>
  <si>
    <t>Yes, only for leg type = FLOAT when trade has final or end stub and linear interpolation</t>
  </si>
  <si>
    <t>SCIS with total 1 stub, i.e. no stub on fixed leg and 1 stub(initial) on float leg</t>
  </si>
  <si>
    <r>
      <t xml:space="preserve">For OIS: CHF - SARON, DKK - DESTR, EUR - ESTR, GBP - SONIA, JPY - TONAR, USD - FEDFUNDS, SOFR, 
For VNS(Fix/Float): CHF - SARON, EUR - ESTR, EURIBOR, GBP - SONIA, JPY - TONAR, USD - FEDFUNDS, LIBOR, SOFR 
For VNS(Float/Float): EUR - ESTR, EURIBOR, USD - FEDFUNDS, LIBOR, SOFR
For Basis Swap: </t>
    </r>
    <r>
      <rPr>
        <sz val="11"/>
        <rFont val="Calibri"/>
        <family val="2"/>
      </rPr>
      <t xml:space="preserve">CZK - PRIBOR, EUR - ESTR, EURIBOR, HUF - BUBOR, USD - FEDFUNDS, LIBOR, SOFR
For other swaps: CZK - PRIBOR, DKK - CIBOR, EUR - EURIBOR, HUF - BUBOR, NOK - NIBOR, PLN - WIBOR, SEK - STIBOR, USD - LIBOR </t>
    </r>
  </si>
  <si>
    <t>The version number was updated
Changes to support front and back stubs in the following tabs: OTC portfolio template, IRS, Trades with stubs, ZC Swap, FRA, VNS, OIS, Basis swap, ZCIS, SCIS, Trade Insert</t>
  </si>
  <si>
    <t>Start date of the first regular perod for the leg should be provided if trade has initial stub</t>
  </si>
  <si>
    <t>End date of the last regular period for the  leg should be provided if trade has final stub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</si>
</sst>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quot;£&quot;#,##0.00"/>
    <numFmt numFmtId="166" formatCode="0.0000"/>
    <numFmt numFmtId="167" formatCode="0.0000;\-0.0000;&quot;-&quot;"/>
    <numFmt numFmtId="168" formatCode="#,##0.0000;[Red]\-#,##0.0000"/>
    <numFmt numFmtId="169" formatCode="0.000000"/>
  </numFmts>
  <fonts count="36" x14ac:knownFonts="1">
    <font>
      <sz val="11"/>
      <color theme="1"/>
      <name val="Calibri"/>
      <family val="2"/>
      <scheme val="minor"/>
    </font>
    <font>
      <b/>
      <sz val="10"/>
      <color indexed="8"/>
      <name val="Arial"/>
      <family val="2"/>
    </font>
    <font>
      <b/>
      <sz val="8"/>
      <color indexed="9"/>
      <name val="Arial"/>
      <family val="2"/>
    </font>
    <font>
      <b/>
      <sz val="9"/>
      <color indexed="9"/>
      <name val="Arial"/>
      <family val="2"/>
    </font>
    <font>
      <b/>
      <sz val="10"/>
      <color indexed="9"/>
      <name val="Arial"/>
      <family val="2"/>
    </font>
    <font>
      <b/>
      <sz val="10"/>
      <name val="Arial"/>
      <family val="2"/>
    </font>
    <font>
      <sz val="10"/>
      <color indexed="23"/>
      <name val="Arial"/>
      <family val="2"/>
    </font>
    <font>
      <b/>
      <sz val="48"/>
      <color indexed="56"/>
      <name val="Calibri"/>
      <family val="2"/>
    </font>
    <font>
      <sz val="11"/>
      <name val="Calibri"/>
      <family val="2"/>
    </font>
    <font>
      <sz val="9"/>
      <name val="Calibri"/>
      <family val="2"/>
    </font>
    <font>
      <sz val="11"/>
      <color theme="0"/>
      <name val="Calibri"/>
      <family val="2"/>
      <scheme val="minor"/>
    </font>
    <font>
      <b/>
      <sz val="11"/>
      <color theme="3"/>
      <name val="Calibri"/>
      <family val="2"/>
      <scheme val="minor"/>
    </font>
    <font>
      <u/>
      <sz val="11"/>
      <color theme="10"/>
      <name val="Calibri"/>
      <family val="2"/>
      <scheme val="minor"/>
    </font>
    <font>
      <b/>
      <sz val="11"/>
      <color theme="1"/>
      <name val="Calibri"/>
      <family val="2"/>
      <scheme val="minor"/>
    </font>
    <font>
      <sz val="11"/>
      <color rgb="FFFF0000"/>
      <name val="Calibri"/>
      <family val="2"/>
      <scheme val="minor"/>
    </font>
    <font>
      <sz val="14"/>
      <color theme="0"/>
      <name val="Calibri"/>
      <family val="2"/>
      <scheme val="minor"/>
    </font>
    <font>
      <sz val="16"/>
      <color theme="0"/>
      <name val="Calibri"/>
      <family val="2"/>
      <scheme val="minor"/>
    </font>
    <font>
      <sz val="9"/>
      <color theme="1"/>
      <name val="Calibri"/>
      <family val="2"/>
      <scheme val="minor"/>
    </font>
    <font>
      <sz val="10"/>
      <color theme="1"/>
      <name val="Arial"/>
      <family val="2"/>
    </font>
    <font>
      <sz val="10"/>
      <color theme="1"/>
      <name val="Symbol"/>
      <family val="1"/>
      <charset val="2"/>
    </font>
    <font>
      <sz val="10"/>
      <color theme="1"/>
      <name val="Courier New"/>
      <family val="3"/>
    </font>
    <font>
      <sz val="11"/>
      <name val="Calibri"/>
      <family val="2"/>
      <scheme val="minor"/>
    </font>
    <font>
      <sz val="11"/>
      <color rgb="FF000000"/>
      <name val="Calibri"/>
      <family val="2"/>
      <scheme val="minor"/>
    </font>
    <font>
      <b/>
      <sz val="12"/>
      <color theme="1"/>
      <name val="Calibri"/>
      <family val="2"/>
      <scheme val="minor"/>
    </font>
    <font>
      <sz val="9"/>
      <name val="Calibri"/>
      <family val="2"/>
      <scheme val="minor"/>
    </font>
    <font>
      <b/>
      <sz val="8"/>
      <color theme="0"/>
      <name val="Arial"/>
      <family val="2"/>
    </font>
    <font>
      <b/>
      <sz val="48"/>
      <color rgb="FF002060"/>
      <name val="Calibri"/>
      <family val="2"/>
    </font>
    <font>
      <b/>
      <sz val="16"/>
      <color rgb="FF00CE7D"/>
      <name val="Calibri"/>
      <family val="2"/>
      <scheme val="minor"/>
    </font>
    <font>
      <b/>
      <sz val="9"/>
      <color theme="0"/>
      <name val="Arial"/>
      <family val="2"/>
    </font>
    <font>
      <sz val="11"/>
      <color theme="1" tint="0.499984740745262"/>
      <name val="Calibri"/>
      <family val="2"/>
      <scheme val="minor"/>
    </font>
    <font>
      <b/>
      <sz val="14"/>
      <color theme="0"/>
      <name val="Calibri"/>
      <family val="2"/>
      <scheme val="minor"/>
    </font>
    <font>
      <b/>
      <sz val="14"/>
      <color theme="1"/>
      <name val="Calibri"/>
      <family val="2"/>
      <scheme val="minor"/>
    </font>
    <font>
      <sz val="9"/>
      <color rgb="FF00B050"/>
      <name val="Calibri"/>
      <family val="2"/>
      <scheme val="minor"/>
    </font>
    <font>
      <sz val="9"/>
      <color rgb="FF00B050"/>
      <name val="Calibri"/>
      <family val="2"/>
    </font>
    <font>
      <b/>
      <sz val="11"/>
      <color rgb="FF00B050"/>
      <name val="Calibri"/>
      <family val="2"/>
      <scheme val="minor"/>
    </font>
    <font>
      <sz val="11"/>
      <color rgb="FF00B050"/>
      <name val="Calibri"/>
      <family val="2"/>
      <scheme val="minor"/>
    </font>
  </fonts>
  <fills count="17">
    <fill>
      <patternFill patternType="none"/>
    </fill>
    <fill>
      <patternFill patternType="gray125"/>
    </fill>
    <fill>
      <patternFill patternType="solid">
        <fgColor indexed="30"/>
        <bgColor indexed="64"/>
      </patternFill>
    </fill>
    <fill>
      <patternFill patternType="solid">
        <fgColor indexed="22"/>
        <bgColor indexed="64"/>
      </patternFill>
    </fill>
    <fill>
      <patternFill patternType="solid">
        <fgColor indexed="23"/>
        <bgColor indexed="64"/>
      </patternFill>
    </fill>
    <fill>
      <patternFill patternType="solid">
        <fgColor theme="4"/>
      </patternFill>
    </fill>
    <fill>
      <patternFill patternType="solid">
        <fgColor theme="0"/>
        <bgColor indexed="64"/>
      </patternFill>
    </fill>
    <fill>
      <patternFill patternType="solid">
        <fgColor rgb="FFCF6D59"/>
        <bgColor indexed="64"/>
      </patternFill>
    </fill>
    <fill>
      <patternFill patternType="solid">
        <fgColor rgb="FF92D050"/>
        <bgColor indexed="64"/>
      </patternFill>
    </fill>
    <fill>
      <patternFill patternType="solid">
        <fgColor theme="3" tint="0.39997558519241921"/>
        <bgColor indexed="64"/>
      </patternFill>
    </fill>
    <fill>
      <patternFill patternType="solid">
        <fgColor theme="3" tint="0.59999389629810485"/>
        <bgColor indexed="64"/>
      </patternFill>
    </fill>
    <fill>
      <patternFill patternType="solid">
        <fgColor rgb="FFFFC000"/>
        <bgColor indexed="64"/>
      </patternFill>
    </fill>
    <fill>
      <patternFill patternType="solid">
        <fgColor theme="4"/>
        <bgColor indexed="64"/>
      </patternFill>
    </fill>
    <fill>
      <patternFill patternType="solid">
        <fgColor theme="3" tint="0.79998168889431442"/>
        <bgColor indexed="64"/>
      </patternFill>
    </fill>
    <fill>
      <patternFill patternType="solid">
        <fgColor rgb="FF0070C0"/>
        <bgColor indexed="64"/>
      </patternFill>
    </fill>
    <fill>
      <patternFill patternType="solid">
        <fgColor rgb="FF00B050"/>
        <bgColor indexed="64"/>
      </patternFill>
    </fill>
    <fill>
      <patternFill patternType="solid">
        <fgColor theme="0" tint="-0.499984740745262"/>
        <bgColor indexed="64"/>
      </patternFill>
    </fill>
  </fills>
  <borders count="44">
    <border>
      <left/>
      <right/>
      <top/>
      <bottom/>
      <diagonal/>
    </border>
    <border>
      <left style="hair">
        <color indexed="64"/>
      </left>
      <right style="hair">
        <color indexed="64"/>
      </right>
      <top style="hair">
        <color indexed="64"/>
      </top>
      <bottom style="hair">
        <color indexed="64"/>
      </bottom>
      <diagonal/>
    </border>
    <border>
      <left style="thin">
        <color indexed="64"/>
      </left>
      <right/>
      <top/>
      <bottom/>
      <diagonal/>
    </border>
    <border>
      <left style="hair">
        <color indexed="64"/>
      </left>
      <right/>
      <top style="hair">
        <color indexed="64"/>
      </top>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diagonal/>
    </border>
    <border>
      <left style="hair">
        <color indexed="64"/>
      </left>
      <right/>
      <top style="thin">
        <color indexed="64"/>
      </top>
      <bottom/>
      <diagonal/>
    </border>
    <border>
      <left style="hair">
        <color indexed="64"/>
      </left>
      <right/>
      <top/>
      <bottom/>
      <diagonal/>
    </border>
    <border>
      <left style="hair">
        <color indexed="64"/>
      </left>
      <right/>
      <top/>
      <bottom style="hair">
        <color indexed="64"/>
      </bottom>
      <diagonal/>
    </border>
    <border>
      <left/>
      <right style="hair">
        <color indexed="64"/>
      </right>
      <top/>
      <bottom style="hair">
        <color indexed="64"/>
      </bottom>
      <diagonal/>
    </border>
    <border>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right/>
      <top style="hair">
        <color indexed="64"/>
      </top>
      <bottom/>
      <diagonal/>
    </border>
    <border>
      <left/>
      <right style="hair">
        <color indexed="64"/>
      </right>
      <top style="hair">
        <color indexed="64"/>
      </top>
      <bottom/>
      <diagonal/>
    </border>
    <border>
      <left/>
      <right style="hair">
        <color indexed="64"/>
      </right>
      <top/>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top/>
      <bottom style="hair">
        <color indexed="64"/>
      </bottom>
      <diagonal/>
    </border>
    <border>
      <left/>
      <right/>
      <top/>
      <bottom style="medium">
        <color theme="4" tint="0.39997558519241921"/>
      </bottom>
      <diagonal/>
    </border>
    <border>
      <left style="double">
        <color theme="5"/>
      </left>
      <right/>
      <top/>
      <bottom style="medium">
        <color theme="4" tint="0.39997558519241921"/>
      </bottom>
      <diagonal/>
    </border>
    <border>
      <left/>
      <right style="double">
        <color rgb="FF00B050"/>
      </right>
      <top/>
      <bottom style="medium">
        <color theme="4" tint="0.39997558519241921"/>
      </bottom>
      <diagonal/>
    </border>
    <border>
      <left/>
      <right style="double">
        <color rgb="FF00B050"/>
      </right>
      <top/>
      <bottom/>
      <diagonal/>
    </border>
    <border>
      <left style="double">
        <color theme="5"/>
      </left>
      <right/>
      <top/>
      <bottom/>
      <diagonal/>
    </border>
    <border>
      <left style="hair">
        <color theme="4" tint="0.39994506668294322"/>
      </left>
      <right style="hair">
        <color theme="4" tint="0.39994506668294322"/>
      </right>
      <top style="hair">
        <color theme="4" tint="0.39994506668294322"/>
      </top>
      <bottom style="hair">
        <color theme="4" tint="0.39994506668294322"/>
      </bottom>
      <diagonal/>
    </border>
    <border>
      <left style="hair">
        <color theme="0"/>
      </left>
      <right style="hair">
        <color theme="0"/>
      </right>
      <top style="hair">
        <color theme="0"/>
      </top>
      <bottom style="hair">
        <color theme="0"/>
      </bottom>
      <diagonal/>
    </border>
    <border>
      <left style="hair">
        <color indexed="64"/>
      </left>
      <right style="medium">
        <color theme="4"/>
      </right>
      <top/>
      <bottom style="hair">
        <color indexed="64"/>
      </bottom>
      <diagonal/>
    </border>
    <border>
      <left style="hair">
        <color indexed="64"/>
      </left>
      <right style="medium">
        <color theme="4"/>
      </right>
      <top style="hair">
        <color indexed="64"/>
      </top>
      <bottom style="hair">
        <color indexed="64"/>
      </bottom>
      <diagonal/>
    </border>
    <border>
      <left/>
      <right style="medium">
        <color theme="4"/>
      </right>
      <top/>
      <bottom style="medium">
        <color theme="4"/>
      </bottom>
      <diagonal/>
    </border>
    <border>
      <left style="medium">
        <color theme="4"/>
      </left>
      <right style="dashed">
        <color theme="0" tint="-0.34998626667073579"/>
      </right>
      <top style="medium">
        <color theme="4"/>
      </top>
      <bottom style="dashed">
        <color theme="0" tint="-0.34998626667073579"/>
      </bottom>
      <diagonal/>
    </border>
    <border>
      <left style="dashed">
        <color theme="0" tint="-0.34998626667073579"/>
      </left>
      <right style="dashed">
        <color theme="0" tint="-0.34998626667073579"/>
      </right>
      <top style="medium">
        <color theme="4"/>
      </top>
      <bottom style="dashed">
        <color theme="0" tint="-0.34998626667073579"/>
      </bottom>
      <diagonal/>
    </border>
    <border>
      <left style="medium">
        <color theme="4"/>
      </left>
      <right style="dashed">
        <color theme="0" tint="-0.34998626667073579"/>
      </right>
      <top style="dashed">
        <color theme="0" tint="-0.34998626667073579"/>
      </top>
      <bottom style="dashed">
        <color theme="0" tint="-0.34998626667073579"/>
      </bottom>
      <diagonal/>
    </border>
    <border>
      <left style="dashed">
        <color theme="0" tint="-0.34998626667073579"/>
      </left>
      <right style="dashed">
        <color theme="0" tint="-0.34998626667073579"/>
      </right>
      <top style="dashed">
        <color theme="0" tint="-0.34998626667073579"/>
      </top>
      <bottom style="dashed">
        <color theme="0" tint="-0.34998626667073579"/>
      </bottom>
      <diagonal/>
    </border>
    <border>
      <left/>
      <right/>
      <top style="thin">
        <color theme="4"/>
      </top>
      <bottom/>
      <diagonal/>
    </border>
    <border>
      <left style="double">
        <color rgb="FF00B050"/>
      </left>
      <right/>
      <top/>
      <bottom/>
      <diagonal/>
    </border>
    <border>
      <left style="hair">
        <color indexed="64"/>
      </left>
      <right style="hair">
        <color indexed="64"/>
      </right>
      <top style="hair">
        <color indexed="64"/>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right style="thin">
        <color auto="1"/>
      </right>
      <top/>
      <bottom/>
      <diagonal/>
    </border>
    <border>
      <left/>
      <right style="thin">
        <color auto="1"/>
      </right>
      <top/>
      <bottom style="medium">
        <color theme="4" tint="0.39997558519241921"/>
      </bottom>
      <diagonal/>
    </border>
  </borders>
  <cellStyleXfs count="4">
    <xf numFmtId="0" fontId="0" fillId="0" borderId="0"/>
    <xf numFmtId="0" fontId="10" fillId="5" borderId="0" applyNumberFormat="0" applyBorder="0" applyAlignment="0" applyProtection="0"/>
    <xf numFmtId="0" fontId="11" fillId="0" borderId="23" applyNumberFormat="0" applyFill="0" applyAlignment="0" applyProtection="0"/>
    <xf numFmtId="0" fontId="12" fillId="0" borderId="0" applyNumberFormat="0" applyFill="0" applyBorder="0" applyAlignment="0" applyProtection="0"/>
  </cellStyleXfs>
  <cellXfs count="190">
    <xf numFmtId="0" fontId="0" fillId="0" borderId="0" xfId="0"/>
    <xf numFmtId="0" fontId="0" fillId="0" borderId="0" xfId="0" applyAlignment="1">
      <alignment horizontal="center"/>
    </xf>
    <xf numFmtId="0" fontId="11" fillId="0" borderId="23" xfId="2" applyAlignment="1">
      <alignment horizontal="center" vertical="center"/>
    </xf>
    <xf numFmtId="0" fontId="11" fillId="0" borderId="23" xfId="2" applyAlignment="1">
      <alignment horizontal="center" vertical="center" wrapText="1"/>
    </xf>
    <xf numFmtId="0" fontId="11" fillId="0" borderId="24" xfId="2" applyBorder="1" applyAlignment="1">
      <alignment horizontal="center" vertical="center"/>
    </xf>
    <xf numFmtId="0" fontId="11" fillId="0" borderId="0" xfId="2" applyBorder="1" applyAlignment="1">
      <alignment horizontal="center" vertical="center" wrapText="1"/>
    </xf>
    <xf numFmtId="0" fontId="0" fillId="6" borderId="0" xfId="0" applyFill="1"/>
    <xf numFmtId="0" fontId="0" fillId="0" borderId="0" xfId="0" applyAlignment="1">
      <alignment horizontal="center" wrapText="1"/>
    </xf>
    <xf numFmtId="0" fontId="15" fillId="5" borderId="0" xfId="1" applyFont="1" applyBorder="1" applyAlignment="1">
      <alignment horizontal="center" vertical="center"/>
    </xf>
    <xf numFmtId="0" fontId="15" fillId="5" borderId="26" xfId="1" applyFont="1" applyBorder="1" applyAlignment="1">
      <alignment horizontal="center" vertical="center"/>
    </xf>
    <xf numFmtId="0" fontId="10" fillId="0" borderId="0" xfId="1" applyFill="1" applyBorder="1" applyAlignment="1">
      <alignment horizontal="center" vertical="center"/>
    </xf>
    <xf numFmtId="0" fontId="16" fillId="7" borderId="0" xfId="0" applyFont="1" applyFill="1" applyAlignment="1">
      <alignment horizontal="center" vertical="center"/>
    </xf>
    <xf numFmtId="0" fontId="16" fillId="8" borderId="0" xfId="0" applyFont="1" applyFill="1" applyAlignment="1">
      <alignment horizontal="center" vertical="center"/>
    </xf>
    <xf numFmtId="0" fontId="16" fillId="8" borderId="26" xfId="0" applyFont="1" applyFill="1" applyBorder="1" applyAlignment="1">
      <alignment horizontal="center" vertical="center"/>
    </xf>
    <xf numFmtId="0" fontId="17" fillId="0" borderId="1" xfId="0" applyFont="1" applyBorder="1" applyAlignment="1">
      <alignment horizontal="center" vertical="center" wrapText="1"/>
    </xf>
    <xf numFmtId="14" fontId="0" fillId="0" borderId="0" xfId="0" applyNumberFormat="1"/>
    <xf numFmtId="0" fontId="18" fillId="0" borderId="0" xfId="0" applyFont="1" applyAlignment="1">
      <alignment horizontal="left" vertical="center"/>
    </xf>
    <xf numFmtId="0" fontId="19" fillId="0" borderId="0" xfId="0" applyFont="1" applyAlignment="1">
      <alignment horizontal="left" vertical="center" indent="5"/>
    </xf>
    <xf numFmtId="0" fontId="20" fillId="0" borderId="0" xfId="0" applyFont="1" applyAlignment="1">
      <alignment horizontal="left" vertical="center" indent="10"/>
    </xf>
    <xf numFmtId="0" fontId="12" fillId="0" borderId="0" xfId="3" applyAlignment="1">
      <alignment horizontal="left" vertical="center" indent="15"/>
    </xf>
    <xf numFmtId="0" fontId="12" fillId="0" borderId="0" xfId="3" applyAlignment="1">
      <alignment horizontal="left" vertical="center" indent="5"/>
    </xf>
    <xf numFmtId="0" fontId="12" fillId="0" borderId="0" xfId="3" applyAlignment="1">
      <alignment horizontal="justify" vertical="center"/>
    </xf>
    <xf numFmtId="0" fontId="0" fillId="8" borderId="0" xfId="0" applyFill="1"/>
    <xf numFmtId="0" fontId="0" fillId="9" borderId="0" xfId="0" applyFill="1"/>
    <xf numFmtId="0" fontId="0" fillId="10" borderId="0" xfId="0" applyFill="1"/>
    <xf numFmtId="14" fontId="0" fillId="10" borderId="0" xfId="0" applyNumberFormat="1" applyFill="1"/>
    <xf numFmtId="0" fontId="0" fillId="11" borderId="0" xfId="0" applyFill="1"/>
    <xf numFmtId="0" fontId="14" fillId="11" borderId="0" xfId="0" applyFont="1" applyFill="1"/>
    <xf numFmtId="0" fontId="15" fillId="12" borderId="0" xfId="0" applyFont="1" applyFill="1" applyAlignment="1">
      <alignment horizontal="center" vertical="center"/>
    </xf>
    <xf numFmtId="0" fontId="0" fillId="0" borderId="2" xfId="0" applyBorder="1" applyAlignment="1">
      <alignment horizontal="center"/>
    </xf>
    <xf numFmtId="0" fontId="22" fillId="0" borderId="0" xfId="0" applyFont="1" applyAlignment="1">
      <alignment horizontal="left" vertical="center"/>
    </xf>
    <xf numFmtId="0" fontId="0" fillId="0" borderId="0" xfId="0" applyAlignment="1">
      <alignment wrapText="1"/>
    </xf>
    <xf numFmtId="0" fontId="15" fillId="5" borderId="0" xfId="1" applyFont="1" applyBorder="1" applyAlignment="1">
      <alignment horizontal="left" vertical="center"/>
    </xf>
    <xf numFmtId="0" fontId="22" fillId="0" borderId="0" xfId="0" applyFont="1" applyAlignment="1">
      <alignment vertical="center"/>
    </xf>
    <xf numFmtId="165" fontId="11" fillId="0" borderId="23" xfId="2" applyNumberFormat="1" applyAlignment="1">
      <alignment horizontal="center" vertical="center" wrapText="1"/>
    </xf>
    <xf numFmtId="4" fontId="17" fillId="0" borderId="1" xfId="0" applyNumberFormat="1" applyFont="1" applyBorder="1" applyAlignment="1">
      <alignment horizontal="center" vertical="center" wrapText="1"/>
    </xf>
    <xf numFmtId="0" fontId="11" fillId="0" borderId="27" xfId="2" applyBorder="1" applyAlignment="1">
      <alignment horizontal="center" vertical="center"/>
    </xf>
    <xf numFmtId="4" fontId="17" fillId="0" borderId="1" xfId="0" quotePrefix="1" applyNumberFormat="1" applyFont="1" applyBorder="1" applyAlignment="1">
      <alignment horizontal="center" vertical="center" wrapText="1"/>
    </xf>
    <xf numFmtId="0" fontId="11" fillId="0" borderId="0" xfId="2" applyBorder="1" applyAlignment="1">
      <alignment horizontal="center" vertical="center"/>
    </xf>
    <xf numFmtId="0" fontId="11" fillId="0" borderId="26" xfId="2" applyBorder="1" applyAlignment="1">
      <alignment horizontal="center" vertical="center" wrapText="1"/>
    </xf>
    <xf numFmtId="0" fontId="0" fillId="0" borderId="28" xfId="0" applyBorder="1" applyAlignment="1">
      <alignment wrapText="1"/>
    </xf>
    <xf numFmtId="0" fontId="0" fillId="13" borderId="29" xfId="0" applyFill="1" applyBorder="1"/>
    <xf numFmtId="0" fontId="0" fillId="10" borderId="0" xfId="0" applyFill="1" applyAlignment="1">
      <alignment horizontal="center"/>
    </xf>
    <xf numFmtId="0" fontId="0" fillId="8" borderId="0" xfId="0" applyFill="1" applyAlignment="1">
      <alignment horizontal="center"/>
    </xf>
    <xf numFmtId="0" fontId="0" fillId="11" borderId="0" xfId="0" applyFill="1" applyAlignment="1">
      <alignment horizontal="center"/>
    </xf>
    <xf numFmtId="0" fontId="1" fillId="6" borderId="0" xfId="0" applyFont="1" applyFill="1"/>
    <xf numFmtId="0" fontId="0" fillId="14" borderId="3" xfId="0" applyFill="1" applyBorder="1"/>
    <xf numFmtId="0" fontId="2" fillId="2" borderId="4" xfId="0" applyFont="1" applyFill="1" applyBorder="1" applyAlignment="1">
      <alignment horizontal="center" wrapText="1"/>
    </xf>
    <xf numFmtId="0" fontId="3" fillId="2" borderId="5" xfId="0" applyFont="1" applyFill="1" applyBorder="1" applyAlignment="1">
      <alignment horizontal="center" wrapText="1"/>
    </xf>
    <xf numFmtId="0" fontId="4" fillId="2" borderId="6" xfId="0" applyFont="1" applyFill="1" applyBorder="1"/>
    <xf numFmtId="0" fontId="2" fillId="2" borderId="7" xfId="0" applyFont="1" applyFill="1" applyBorder="1" applyAlignment="1">
      <alignment horizontal="center" wrapText="1"/>
    </xf>
    <xf numFmtId="0" fontId="2" fillId="2" borderId="8" xfId="0" applyFont="1" applyFill="1" applyBorder="1" applyAlignment="1">
      <alignment horizontal="center" wrapText="1"/>
    </xf>
    <xf numFmtId="167" fontId="5" fillId="3" borderId="9" xfId="0" applyNumberFormat="1" applyFont="1" applyFill="1" applyBorder="1" applyAlignment="1">
      <alignment horizontal="center"/>
    </xf>
    <xf numFmtId="168" fontId="0" fillId="6" borderId="1" xfId="0" applyNumberFormat="1" applyFill="1" applyBorder="1" applyAlignment="1" applyProtection="1">
      <alignment horizontal="center"/>
      <protection locked="0"/>
    </xf>
    <xf numFmtId="167" fontId="5" fillId="3" borderId="10" xfId="0" applyNumberFormat="1" applyFont="1" applyFill="1" applyBorder="1" applyAlignment="1">
      <alignment horizontal="center"/>
    </xf>
    <xf numFmtId="167" fontId="5" fillId="3" borderId="11" xfId="0" applyNumberFormat="1" applyFont="1" applyFill="1" applyBorder="1" applyAlignment="1">
      <alignment horizontal="center"/>
    </xf>
    <xf numFmtId="0" fontId="0" fillId="3" borderId="0" xfId="0" applyFill="1"/>
    <xf numFmtId="0" fontId="0" fillId="11" borderId="0" xfId="0" applyFill="1" applyAlignment="1">
      <alignment wrapText="1"/>
    </xf>
    <xf numFmtId="16" fontId="0" fillId="10" borderId="0" xfId="0" quotePrefix="1" applyNumberFormat="1" applyFill="1"/>
    <xf numFmtId="0" fontId="13" fillId="0" borderId="0" xfId="0" applyFont="1"/>
    <xf numFmtId="0" fontId="0" fillId="0" borderId="0" xfId="0" applyAlignment="1">
      <alignment horizontal="left"/>
    </xf>
    <xf numFmtId="0" fontId="0" fillId="0" borderId="0" xfId="0" applyAlignment="1">
      <alignment horizontal="right"/>
    </xf>
    <xf numFmtId="0" fontId="12" fillId="6" borderId="0" xfId="3" quotePrefix="1" applyFill="1"/>
    <xf numFmtId="14" fontId="0" fillId="0" borderId="0" xfId="0" applyNumberFormat="1" applyAlignment="1">
      <alignment horizontal="right" vertical="top"/>
    </xf>
    <xf numFmtId="0" fontId="15" fillId="12" borderId="0" xfId="0" applyFont="1" applyFill="1" applyAlignment="1">
      <alignment horizontal="center" vertical="top"/>
    </xf>
    <xf numFmtId="164" fontId="0" fillId="0" borderId="0" xfId="0" applyNumberFormat="1" applyAlignment="1">
      <alignment horizontal="center" vertical="top"/>
    </xf>
    <xf numFmtId="0" fontId="0" fillId="0" borderId="0" xfId="0" applyAlignment="1">
      <alignment vertical="top"/>
    </xf>
    <xf numFmtId="0" fontId="0" fillId="0" borderId="0" xfId="0" applyAlignment="1">
      <alignment vertical="top" wrapText="1"/>
    </xf>
    <xf numFmtId="0" fontId="0" fillId="0" borderId="0" xfId="0" applyAlignment="1">
      <alignment horizontal="center" vertical="top"/>
    </xf>
    <xf numFmtId="16" fontId="0" fillId="0" borderId="0" xfId="0" quotePrefix="1" applyNumberFormat="1" applyAlignment="1">
      <alignment horizontal="center" vertical="top"/>
    </xf>
    <xf numFmtId="14" fontId="15" fillId="12" borderId="0" xfId="0" applyNumberFormat="1" applyFont="1" applyFill="1" applyAlignment="1">
      <alignment horizontal="right" vertical="top"/>
    </xf>
    <xf numFmtId="0" fontId="11" fillId="0" borderId="30" xfId="2" applyBorder="1" applyAlignment="1">
      <alignment horizontal="center" vertical="center" wrapText="1"/>
    </xf>
    <xf numFmtId="0" fontId="11" fillId="0" borderId="31" xfId="2" applyBorder="1" applyAlignment="1">
      <alignment horizontal="center" vertical="center" wrapText="1"/>
    </xf>
    <xf numFmtId="0" fontId="23" fillId="6" borderId="0" xfId="0" applyFont="1" applyFill="1"/>
    <xf numFmtId="0" fontId="0" fillId="0" borderId="0" xfId="0" quotePrefix="1" applyAlignment="1">
      <alignment vertical="top" wrapText="1"/>
    </xf>
    <xf numFmtId="49" fontId="0" fillId="0" borderId="0" xfId="0" applyNumberFormat="1" applyAlignment="1">
      <alignment horizontal="center" vertical="top"/>
    </xf>
    <xf numFmtId="14" fontId="0" fillId="0" borderId="0" xfId="0" applyNumberFormat="1" applyAlignment="1">
      <alignment vertical="top"/>
    </xf>
    <xf numFmtId="0" fontId="15" fillId="5" borderId="0" xfId="1" applyFont="1" applyAlignment="1">
      <alignment horizontal="left" vertical="center"/>
    </xf>
    <xf numFmtId="169" fontId="15" fillId="5" borderId="0" xfId="1" applyNumberFormat="1" applyFont="1" applyAlignment="1">
      <alignment horizontal="left" vertical="center"/>
    </xf>
    <xf numFmtId="0" fontId="0" fillId="0" borderId="12" xfId="0" applyBorder="1" applyAlignment="1">
      <alignment vertical="top" wrapText="1"/>
    </xf>
    <xf numFmtId="0" fontId="0" fillId="0" borderId="13" xfId="0" applyBorder="1" applyAlignment="1">
      <alignment vertical="top" wrapText="1"/>
    </xf>
    <xf numFmtId="0" fontId="0" fillId="0" borderId="32" xfId="0" applyBorder="1"/>
    <xf numFmtId="0" fontId="0" fillId="0" borderId="33" xfId="0" applyBorder="1" applyAlignment="1">
      <alignment vertical="top" wrapText="1"/>
    </xf>
    <xf numFmtId="0" fontId="21" fillId="0" borderId="34" xfId="0" applyFont="1" applyBorder="1" applyAlignment="1">
      <alignment vertical="top" wrapText="1"/>
    </xf>
    <xf numFmtId="0" fontId="0" fillId="0" borderId="34" xfId="0" applyBorder="1" applyAlignment="1">
      <alignment vertical="top" wrapText="1"/>
    </xf>
    <xf numFmtId="0" fontId="0" fillId="0" borderId="35" xfId="0" applyBorder="1" applyAlignment="1">
      <alignment vertical="top" wrapText="1"/>
    </xf>
    <xf numFmtId="0" fontId="21" fillId="0" borderId="36" xfId="0" applyFont="1" applyBorder="1" applyAlignment="1">
      <alignment vertical="top" wrapText="1"/>
    </xf>
    <xf numFmtId="0" fontId="0" fillId="0" borderId="36" xfId="0" applyBorder="1" applyAlignment="1">
      <alignment vertical="top" wrapText="1"/>
    </xf>
    <xf numFmtId="0" fontId="0" fillId="10" borderId="14" xfId="0" applyFill="1" applyBorder="1"/>
    <xf numFmtId="14" fontId="0" fillId="10" borderId="14" xfId="0" applyNumberFormat="1" applyFill="1" applyBorder="1"/>
    <xf numFmtId="0" fontId="12" fillId="15" borderId="0" xfId="3" quotePrefix="1" applyFill="1"/>
    <xf numFmtId="0" fontId="0" fillId="15" borderId="0" xfId="0" applyFill="1" applyAlignment="1">
      <alignment vertical="top" wrapText="1"/>
    </xf>
    <xf numFmtId="0" fontId="0" fillId="0" borderId="0" xfId="0" applyAlignment="1">
      <alignment horizontal="right" vertical="top"/>
    </xf>
    <xf numFmtId="0" fontId="21" fillId="0" borderId="0" xfId="0" applyFont="1" applyAlignment="1">
      <alignment wrapText="1"/>
    </xf>
    <xf numFmtId="0" fontId="0" fillId="0" borderId="0" xfId="0" applyAlignment="1">
      <alignment horizontal="center" vertical="top" wrapText="1"/>
    </xf>
    <xf numFmtId="0" fontId="0" fillId="0" borderId="28" xfId="0" applyBorder="1" applyAlignment="1">
      <alignment vertical="top" wrapText="1"/>
    </xf>
    <xf numFmtId="0" fontId="12" fillId="0" borderId="0" xfId="3" applyFill="1"/>
    <xf numFmtId="49" fontId="0" fillId="8" borderId="0" xfId="0" applyNumberFormat="1" applyFill="1" applyAlignment="1">
      <alignment horizontal="center"/>
    </xf>
    <xf numFmtId="14" fontId="0" fillId="15" borderId="0" xfId="0" applyNumberFormat="1" applyFill="1" applyAlignment="1">
      <alignment vertical="top"/>
    </xf>
    <xf numFmtId="165" fontId="11" fillId="0" borderId="0" xfId="2" applyNumberFormat="1" applyBorder="1" applyAlignment="1">
      <alignment horizontal="center" vertical="center" wrapText="1"/>
    </xf>
    <xf numFmtId="0" fontId="12" fillId="0" borderId="0" xfId="3" quotePrefix="1" applyFill="1"/>
    <xf numFmtId="0" fontId="24" fillId="0" borderId="1" xfId="0" applyFont="1" applyBorder="1" applyAlignment="1">
      <alignment horizontal="center" vertical="center" wrapText="1"/>
    </xf>
    <xf numFmtId="0" fontId="21" fillId="0" borderId="28" xfId="0" applyFont="1" applyBorder="1" applyAlignment="1">
      <alignment vertical="top" wrapText="1"/>
    </xf>
    <xf numFmtId="0" fontId="25" fillId="2" borderId="7" xfId="0" applyFont="1" applyFill="1" applyBorder="1" applyAlignment="1">
      <alignment horizontal="center" wrapText="1"/>
    </xf>
    <xf numFmtId="49" fontId="0" fillId="15" borderId="0" xfId="0" applyNumberFormat="1" applyFill="1" applyAlignment="1">
      <alignment horizontal="center" vertical="top"/>
    </xf>
    <xf numFmtId="0" fontId="0" fillId="16" borderId="15" xfId="0" applyFill="1" applyBorder="1"/>
    <xf numFmtId="0" fontId="0" fillId="16" borderId="16" xfId="0" applyFill="1" applyBorder="1"/>
    <xf numFmtId="0" fontId="0" fillId="16" borderId="0" xfId="0" applyFill="1"/>
    <xf numFmtId="0" fontId="0" fillId="16" borderId="17" xfId="0" applyFill="1" applyBorder="1"/>
    <xf numFmtId="168" fontId="0" fillId="16" borderId="3" xfId="0" applyNumberFormat="1" applyFill="1" applyBorder="1" applyAlignment="1" applyProtection="1">
      <alignment horizontal="center"/>
      <protection locked="0"/>
    </xf>
    <xf numFmtId="168" fontId="0" fillId="16" borderId="10" xfId="0" applyNumberFormat="1" applyFill="1" applyBorder="1" applyAlignment="1" applyProtection="1">
      <alignment horizontal="center"/>
      <protection locked="0"/>
    </xf>
    <xf numFmtId="0" fontId="9" fillId="0" borderId="1" xfId="0" applyFont="1" applyBorder="1" applyAlignment="1">
      <alignment horizontal="center" vertical="center" wrapText="1"/>
    </xf>
    <xf numFmtId="0" fontId="28" fillId="2" borderId="5" xfId="0" applyFont="1" applyFill="1" applyBorder="1" applyAlignment="1">
      <alignment horizontal="center" wrapText="1"/>
    </xf>
    <xf numFmtId="0" fontId="16" fillId="8" borderId="42" xfId="0" applyFont="1" applyFill="1" applyBorder="1" applyAlignment="1">
      <alignment horizontal="center" vertical="center"/>
    </xf>
    <xf numFmtId="0" fontId="11" fillId="0" borderId="23" xfId="2" applyFill="1" applyAlignment="1">
      <alignment horizontal="center" vertical="center" wrapText="1"/>
    </xf>
    <xf numFmtId="49" fontId="0" fillId="10" borderId="0" xfId="0" applyNumberFormat="1" applyFill="1"/>
    <xf numFmtId="0" fontId="0" fillId="10" borderId="42" xfId="0" applyFill="1" applyBorder="1"/>
    <xf numFmtId="0" fontId="31" fillId="0" borderId="0" xfId="0" applyFont="1"/>
    <xf numFmtId="0" fontId="0" fillId="0" borderId="0" xfId="0" quotePrefix="1"/>
    <xf numFmtId="0" fontId="11" fillId="0" borderId="43" xfId="2" applyFill="1" applyBorder="1" applyAlignment="1">
      <alignment horizontal="center" vertical="center" wrapText="1"/>
    </xf>
    <xf numFmtId="0" fontId="11" fillId="0" borderId="25" xfId="2" applyBorder="1" applyAlignment="1">
      <alignment horizontal="center" vertical="center" wrapText="1"/>
    </xf>
    <xf numFmtId="0" fontId="16" fillId="8" borderId="38" xfId="0" applyFont="1" applyFill="1" applyBorder="1" applyAlignment="1">
      <alignment vertical="center"/>
    </xf>
    <xf numFmtId="0" fontId="16" fillId="8" borderId="0" xfId="0" applyFont="1" applyFill="1" applyAlignment="1">
      <alignment vertical="center"/>
    </xf>
    <xf numFmtId="0" fontId="16" fillId="8" borderId="26" xfId="0" applyFont="1" applyFill="1" applyBorder="1" applyAlignment="1">
      <alignment vertical="center"/>
    </xf>
    <xf numFmtId="0" fontId="16" fillId="7" borderId="27" xfId="0" applyFont="1" applyFill="1" applyBorder="1" applyAlignment="1">
      <alignment vertical="center"/>
    </xf>
    <xf numFmtId="0" fontId="16" fillId="7" borderId="0" xfId="0" applyFont="1" applyFill="1" applyAlignment="1">
      <alignment vertical="center"/>
    </xf>
    <xf numFmtId="0" fontId="16" fillId="7" borderId="26" xfId="0" applyFont="1" applyFill="1" applyBorder="1" applyAlignment="1">
      <alignment vertical="center"/>
    </xf>
    <xf numFmtId="0" fontId="11" fillId="15" borderId="23" xfId="2" applyFill="1" applyAlignment="1">
      <alignment horizontal="center" vertical="center" wrapText="1"/>
    </xf>
    <xf numFmtId="0" fontId="11" fillId="15" borderId="0" xfId="2" applyFill="1" applyBorder="1" applyAlignment="1">
      <alignment horizontal="center" vertical="center" wrapText="1"/>
    </xf>
    <xf numFmtId="0" fontId="32" fillId="0" borderId="1" xfId="0" applyFont="1" applyBorder="1" applyAlignment="1">
      <alignment horizontal="center" vertical="center" wrapText="1"/>
    </xf>
    <xf numFmtId="0" fontId="12" fillId="15" borderId="0" xfId="3" applyFill="1"/>
    <xf numFmtId="0" fontId="0" fillId="13" borderId="0" xfId="0" applyFill="1"/>
    <xf numFmtId="0" fontId="11" fillId="0" borderId="0" xfId="2" applyFill="1" applyBorder="1" applyAlignment="1">
      <alignment horizontal="center" vertical="center" wrapText="1"/>
    </xf>
    <xf numFmtId="14" fontId="0" fillId="0" borderId="0" xfId="0" applyNumberFormat="1" applyAlignment="1">
      <alignment horizontal="right"/>
    </xf>
    <xf numFmtId="0" fontId="34" fillId="0" borderId="0" xfId="0" applyFont="1" applyAlignment="1">
      <alignment horizontal="center"/>
    </xf>
    <xf numFmtId="0" fontId="35" fillId="0" borderId="0" xfId="0" applyFont="1"/>
    <xf numFmtId="14" fontId="35" fillId="0" borderId="0" xfId="0" applyNumberFormat="1" applyFont="1" applyAlignment="1">
      <alignment horizontal="right"/>
    </xf>
    <xf numFmtId="0" fontId="35" fillId="0" borderId="0" xfId="0" applyFont="1" applyAlignment="1">
      <alignment horizontal="right"/>
    </xf>
    <xf numFmtId="14" fontId="35" fillId="0" borderId="0" xfId="0" applyNumberFormat="1" applyFont="1"/>
    <xf numFmtId="0" fontId="7" fillId="6" borderId="0" xfId="0" applyFont="1" applyFill="1" applyAlignment="1">
      <alignment horizontal="center" vertical="center" wrapText="1"/>
    </xf>
    <xf numFmtId="0" fontId="0" fillId="0" borderId="0" xfId="0" applyAlignment="1">
      <alignment vertical="center" wrapText="1"/>
    </xf>
    <xf numFmtId="0" fontId="26" fillId="6" borderId="0" xfId="0" applyFont="1" applyFill="1" applyAlignment="1">
      <alignment horizontal="center" vertical="center" wrapText="1"/>
    </xf>
    <xf numFmtId="49" fontId="26" fillId="6" borderId="0" xfId="0" applyNumberFormat="1" applyFont="1" applyFill="1" applyAlignment="1">
      <alignment horizontal="center" vertical="center" wrapText="1"/>
    </xf>
    <xf numFmtId="0" fontId="0" fillId="6" borderId="0" xfId="0" applyFill="1" applyAlignment="1">
      <alignment vertical="top" wrapText="1"/>
    </xf>
    <xf numFmtId="0" fontId="0" fillId="0" borderId="0" xfId="0" applyAlignment="1">
      <alignment wrapText="1"/>
    </xf>
    <xf numFmtId="0" fontId="27" fillId="0" borderId="0" xfId="0" applyFont="1" applyAlignment="1">
      <alignment horizontal="center" vertical="center" wrapText="1"/>
    </xf>
    <xf numFmtId="0" fontId="0" fillId="0" borderId="0" xfId="0" applyAlignment="1">
      <alignment horizontal="center" vertical="center" wrapText="1"/>
    </xf>
    <xf numFmtId="0" fontId="16" fillId="7" borderId="27" xfId="0" applyFont="1" applyFill="1" applyBorder="1" applyAlignment="1">
      <alignment horizontal="center" vertical="center"/>
    </xf>
    <xf numFmtId="0" fontId="16" fillId="7" borderId="0" xfId="0" applyFont="1" applyFill="1" applyAlignment="1">
      <alignment horizontal="center" vertical="center"/>
    </xf>
    <xf numFmtId="0" fontId="0" fillId="0" borderId="37" xfId="0" applyBorder="1" applyAlignment="1">
      <alignment horizontal="center"/>
    </xf>
    <xf numFmtId="0" fontId="16" fillId="8" borderId="38" xfId="0" applyFont="1" applyFill="1" applyBorder="1" applyAlignment="1">
      <alignment horizontal="center" vertical="center"/>
    </xf>
    <xf numFmtId="0" fontId="16" fillId="8" borderId="0" xfId="0" applyFont="1" applyFill="1" applyAlignment="1">
      <alignment horizontal="center" vertical="center"/>
    </xf>
    <xf numFmtId="0" fontId="16" fillId="5" borderId="0" xfId="1" applyFont="1" applyBorder="1" applyAlignment="1">
      <alignment horizontal="center" vertical="center"/>
    </xf>
    <xf numFmtId="0" fontId="0" fillId="0" borderId="0" xfId="0" applyAlignment="1">
      <alignment horizontal="left" wrapText="1"/>
    </xf>
    <xf numFmtId="0" fontId="0" fillId="0" borderId="0" xfId="0" applyAlignment="1">
      <alignment horizontal="left"/>
    </xf>
    <xf numFmtId="0" fontId="15" fillId="5" borderId="0" xfId="1" applyFont="1" applyBorder="1" applyAlignment="1">
      <alignment horizontal="left" vertical="center"/>
    </xf>
    <xf numFmtId="0" fontId="30" fillId="12" borderId="0" xfId="0" applyFont="1" applyFill="1" applyAlignment="1">
      <alignment vertical="center" wrapText="1"/>
    </xf>
    <xf numFmtId="0" fontId="13" fillId="12" borderId="0" xfId="0" applyFont="1" applyFill="1" applyAlignment="1">
      <alignment vertical="center" wrapText="1"/>
    </xf>
    <xf numFmtId="0" fontId="13" fillId="0" borderId="42" xfId="0" applyFont="1" applyBorder="1"/>
    <xf numFmtId="4" fontId="24" fillId="0" borderId="18" xfId="0" applyNumberFormat="1" applyFont="1" applyBorder="1" applyAlignment="1">
      <alignment horizontal="left" vertical="center" wrapText="1"/>
    </xf>
    <xf numFmtId="4" fontId="24" fillId="0" borderId="19" xfId="0" applyNumberFormat="1" applyFont="1" applyBorder="1" applyAlignment="1">
      <alignment horizontal="left" vertical="center" wrapText="1"/>
    </xf>
    <xf numFmtId="4" fontId="24" fillId="0" borderId="13" xfId="0" applyNumberFormat="1" applyFont="1" applyBorder="1" applyAlignment="1">
      <alignment horizontal="left" vertical="center" wrapText="1"/>
    </xf>
    <xf numFmtId="0" fontId="15" fillId="5" borderId="26" xfId="1" applyFont="1" applyBorder="1" applyAlignment="1">
      <alignment horizontal="left" vertical="center"/>
    </xf>
    <xf numFmtId="0" fontId="3" fillId="2" borderId="5" xfId="0" applyFont="1" applyFill="1" applyBorder="1" applyAlignment="1">
      <alignment horizontal="center" wrapText="1"/>
    </xf>
    <xf numFmtId="0" fontId="17" fillId="0" borderId="20" xfId="0" applyFont="1" applyBorder="1" applyAlignment="1">
      <alignment horizontal="center" wrapText="1"/>
    </xf>
    <xf numFmtId="0" fontId="17" fillId="0" borderId="21" xfId="0" applyFont="1" applyBorder="1" applyAlignment="1">
      <alignment horizontal="center" wrapText="1"/>
    </xf>
    <xf numFmtId="168" fontId="0" fillId="16" borderId="3" xfId="0" applyNumberFormat="1" applyFill="1" applyBorder="1" applyAlignment="1" applyProtection="1">
      <alignment horizontal="center"/>
      <protection locked="0"/>
    </xf>
    <xf numFmtId="168" fontId="0" fillId="16" borderId="15" xfId="0" applyNumberFormat="1" applyFill="1" applyBorder="1" applyAlignment="1" applyProtection="1">
      <alignment horizontal="center"/>
      <protection locked="0"/>
    </xf>
    <xf numFmtId="168" fontId="0" fillId="16" borderId="10" xfId="0" applyNumberFormat="1" applyFill="1" applyBorder="1" applyAlignment="1" applyProtection="1">
      <alignment horizontal="center"/>
      <protection locked="0"/>
    </xf>
    <xf numFmtId="168" fontId="0" fillId="16" borderId="0" xfId="0" applyNumberFormat="1" applyFill="1" applyAlignment="1" applyProtection="1">
      <alignment horizontal="center"/>
      <protection locked="0"/>
    </xf>
    <xf numFmtId="0" fontId="29" fillId="16" borderId="0" xfId="0" applyFont="1" applyFill="1" applyAlignment="1">
      <alignment horizontal="center"/>
    </xf>
    <xf numFmtId="0" fontId="29" fillId="16" borderId="17" xfId="0" applyFont="1" applyFill="1" applyBorder="1" applyAlignment="1">
      <alignment horizontal="center"/>
    </xf>
    <xf numFmtId="0" fontId="0" fillId="16" borderId="10" xfId="0" applyFill="1" applyBorder="1" applyAlignment="1">
      <alignment horizontal="center"/>
    </xf>
    <xf numFmtId="0" fontId="0" fillId="16" borderId="0" xfId="0" applyFill="1" applyAlignment="1">
      <alignment horizontal="center"/>
    </xf>
    <xf numFmtId="168" fontId="0" fillId="16" borderId="16" xfId="0" applyNumberFormat="1" applyFill="1" applyBorder="1" applyAlignment="1" applyProtection="1">
      <alignment horizontal="center"/>
      <protection locked="0"/>
    </xf>
    <xf numFmtId="168" fontId="0" fillId="16" borderId="17" xfId="0" applyNumberFormat="1" applyFill="1" applyBorder="1" applyAlignment="1" applyProtection="1">
      <alignment horizontal="center"/>
      <protection locked="0"/>
    </xf>
    <xf numFmtId="168" fontId="0" fillId="16" borderId="11" xfId="0" applyNumberFormat="1" applyFill="1" applyBorder="1" applyAlignment="1" applyProtection="1">
      <alignment horizontal="center"/>
      <protection locked="0"/>
    </xf>
    <xf numFmtId="168" fontId="0" fillId="16" borderId="22" xfId="0" applyNumberFormat="1" applyFill="1" applyBorder="1" applyAlignment="1" applyProtection="1">
      <alignment horizontal="center"/>
      <protection locked="0"/>
    </xf>
    <xf numFmtId="168" fontId="0" fillId="16" borderId="12" xfId="0" applyNumberFormat="1" applyFill="1" applyBorder="1" applyAlignment="1" applyProtection="1">
      <alignment horizontal="center"/>
      <protection locked="0"/>
    </xf>
    <xf numFmtId="166" fontId="6" fillId="4" borderId="3" xfId="0" applyNumberFormat="1" applyFont="1" applyFill="1" applyBorder="1" applyAlignment="1" applyProtection="1">
      <alignment horizontal="center"/>
      <protection locked="0"/>
    </xf>
    <xf numFmtId="0" fontId="0" fillId="0" borderId="10" xfId="0" applyBorder="1" applyAlignment="1">
      <alignment horizontal="center"/>
    </xf>
    <xf numFmtId="168" fontId="0" fillId="16" borderId="18" xfId="0" applyNumberFormat="1" applyFill="1" applyBorder="1" applyAlignment="1" applyProtection="1">
      <alignment horizontal="center"/>
      <protection locked="0"/>
    </xf>
    <xf numFmtId="168" fontId="0" fillId="16" borderId="19" xfId="0" applyNumberFormat="1" applyFill="1" applyBorder="1" applyAlignment="1" applyProtection="1">
      <alignment horizontal="center"/>
      <protection locked="0"/>
    </xf>
    <xf numFmtId="168" fontId="0" fillId="16" borderId="13" xfId="0" applyNumberFormat="1" applyFill="1" applyBorder="1" applyAlignment="1" applyProtection="1">
      <alignment horizontal="center"/>
      <protection locked="0"/>
    </xf>
    <xf numFmtId="168" fontId="0" fillId="16" borderId="39" xfId="0" applyNumberFormat="1" applyFill="1" applyBorder="1" applyAlignment="1" applyProtection="1">
      <alignment horizontal="center"/>
      <protection locked="0"/>
    </xf>
    <xf numFmtId="168" fontId="0" fillId="16" borderId="40" xfId="0" applyNumberFormat="1" applyFill="1" applyBorder="1" applyAlignment="1" applyProtection="1">
      <alignment horizontal="center"/>
      <protection locked="0"/>
    </xf>
    <xf numFmtId="168" fontId="0" fillId="16" borderId="41" xfId="0" applyNumberFormat="1" applyFill="1" applyBorder="1" applyAlignment="1" applyProtection="1">
      <alignment horizontal="center"/>
      <protection locked="0"/>
    </xf>
    <xf numFmtId="0" fontId="28" fillId="2" borderId="5" xfId="0" applyFont="1" applyFill="1" applyBorder="1" applyAlignment="1">
      <alignment horizontal="center" wrapText="1"/>
    </xf>
    <xf numFmtId="0" fontId="28" fillId="2" borderId="21" xfId="0" applyFont="1" applyFill="1" applyBorder="1" applyAlignment="1">
      <alignment horizontal="center" wrapText="1"/>
    </xf>
    <xf numFmtId="0" fontId="28" fillId="2" borderId="20" xfId="0" applyFont="1" applyFill="1" applyBorder="1" applyAlignment="1">
      <alignment horizontal="center" wrapText="1"/>
    </xf>
  </cellXfs>
  <cellStyles count="4">
    <cellStyle name="Accent1" xfId="1" builtinId="29"/>
    <cellStyle name="Heading 3" xfId="2" builtinId="18"/>
    <cellStyle name="Hyperlink" xfId="3" builtinId="8"/>
    <cellStyle name="Normal" xfId="0" builtinId="0"/>
  </cellStyles>
  <dxfs count="22">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numFmt numFmtId="166" formatCode="0.0000"/>
      <fill>
        <patternFill>
          <bgColor theme="0" tint="-0.14996795556505021"/>
        </patternFill>
      </fill>
    </dxf>
    <dxf>
      <numFmt numFmtId="166" formatCode="0.0000"/>
      <fill>
        <patternFill>
          <bgColor theme="0" tint="-0.14996795556505021"/>
        </patternFill>
      </fill>
    </dxf>
    <dxf>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2.xml"/><Relationship Id="rId30" Type="http://schemas.openxmlformats.org/officeDocument/2006/relationships/customXml" Target="../customXml/item5.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5.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png"/></Relationships>
</file>

<file path=xl/drawings/_rels/drawing18.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png"/></Relationships>
</file>

<file path=xl/drawings/_rels/drawing20.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2</xdr:row>
      <xdr:rowOff>66675</xdr:rowOff>
    </xdr:from>
    <xdr:to>
      <xdr:col>2</xdr:col>
      <xdr:colOff>419100</xdr:colOff>
      <xdr:row>5</xdr:row>
      <xdr:rowOff>19050</xdr:rowOff>
    </xdr:to>
    <xdr:pic>
      <xdr:nvPicPr>
        <xdr:cNvPr id="1878" name="Grafik 3">
          <a:extLst>
            <a:ext uri="{FF2B5EF4-FFF2-40B4-BE49-F238E27FC236}">
              <a16:creationId xmlns:a16="http://schemas.microsoft.com/office/drawing/2014/main" id="{DC7A0ADA-46F0-43BD-355A-58E33D408E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0" y="447675"/>
          <a:ext cx="1905000"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676275</xdr:colOff>
      <xdr:row>0</xdr:row>
      <xdr:rowOff>0</xdr:rowOff>
    </xdr:from>
    <xdr:to>
      <xdr:col>20</xdr:col>
      <xdr:colOff>28575</xdr:colOff>
      <xdr:row>7</xdr:row>
      <xdr:rowOff>76200</xdr:rowOff>
    </xdr:to>
    <xdr:pic>
      <xdr:nvPicPr>
        <xdr:cNvPr id="1879" name="Grafik 6">
          <a:extLst>
            <a:ext uri="{FF2B5EF4-FFF2-40B4-BE49-F238E27FC236}">
              <a16:creationId xmlns:a16="http://schemas.microsoft.com/office/drawing/2014/main" id="{9586DB60-13B2-D71A-C37E-1742B62E248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4639925" y="0"/>
          <a:ext cx="876300" cy="1409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409575</xdr:colOff>
      <xdr:row>0</xdr:row>
      <xdr:rowOff>38100</xdr:rowOff>
    </xdr:from>
    <xdr:to>
      <xdr:col>4</xdr:col>
      <xdr:colOff>781050</xdr:colOff>
      <xdr:row>0</xdr:row>
      <xdr:rowOff>476250</xdr:rowOff>
    </xdr:to>
    <xdr:pic>
      <xdr:nvPicPr>
        <xdr:cNvPr id="63914" name="Picture 2">
          <a:extLst>
            <a:ext uri="{FF2B5EF4-FFF2-40B4-BE49-F238E27FC236}">
              <a16:creationId xmlns:a16="http://schemas.microsoft.com/office/drawing/2014/main" id="{9600F83E-97BD-6EFF-C9C9-8657979CC5F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19300" y="38100"/>
          <a:ext cx="5276850"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243661</xdr:colOff>
      <xdr:row>0</xdr:row>
      <xdr:rowOff>480483</xdr:rowOff>
    </xdr:from>
    <xdr:to>
      <xdr:col>4</xdr:col>
      <xdr:colOff>863894</xdr:colOff>
      <xdr:row>2</xdr:row>
      <xdr:rowOff>276891</xdr:rowOff>
    </xdr:to>
    <xdr:sp macro="" textlink="">
      <xdr:nvSpPr>
        <xdr:cNvPr id="2" name="Line Callout 1 1">
          <a:extLst>
            <a:ext uri="{FF2B5EF4-FFF2-40B4-BE49-F238E27FC236}">
              <a16:creationId xmlns:a16="http://schemas.microsoft.com/office/drawing/2014/main" id="{8CB4DDE6-8F79-8BD3-BA82-BBB4D7B6137C}"/>
            </a:ext>
          </a:extLst>
        </xdr:cNvPr>
        <xdr:cNvSpPr/>
      </xdr:nvSpPr>
      <xdr:spPr>
        <a:xfrm>
          <a:off x="3588487" y="480483"/>
          <a:ext cx="3787849" cy="1125478"/>
        </a:xfrm>
        <a:prstGeom prst="borderCallout1">
          <a:avLst>
            <a:gd name="adj1" fmla="val 30324"/>
            <a:gd name="adj2" fmla="val -1515"/>
            <a:gd name="adj3" fmla="val -23139"/>
            <a:gd name="adj4" fmla="val -1337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Use this button to export the template to</a:t>
          </a:r>
          <a:r>
            <a:rPr lang="en-GB" sz="1100" baseline="0">
              <a:solidFill>
                <a:sysClr val="windowText" lastClr="000000"/>
              </a:solidFill>
            </a:rPr>
            <a:t> the csv file (the file will be saved at the same location where the Excel template is saved. Save the Excel file first on your drive before pressing the Export button).</a:t>
          </a:r>
        </a:p>
        <a:p>
          <a:pPr algn="l"/>
          <a:r>
            <a:rPr lang="en-GB" sz="1100" baseline="0">
              <a:solidFill>
                <a:sysClr val="windowText" lastClr="000000"/>
              </a:solidFill>
            </a:rPr>
            <a:t>Only files in the csv format are accepted by the Margin Calculator. </a:t>
          </a:r>
          <a:endParaRPr lang="en-GB" sz="1100">
            <a:solidFill>
              <a:sysClr val="windowText" lastClr="000000"/>
            </a:solidFill>
          </a:endParaRPr>
        </a:p>
      </xdr:txBody>
    </xdr:sp>
    <xdr:clientData/>
  </xdr:twoCellAnchor>
  <xdr:twoCellAnchor>
    <xdr:from>
      <xdr:col>6</xdr:col>
      <xdr:colOff>99680</xdr:colOff>
      <xdr:row>1</xdr:row>
      <xdr:rowOff>0</xdr:rowOff>
    </xdr:from>
    <xdr:to>
      <xdr:col>10</xdr:col>
      <xdr:colOff>1163456</xdr:colOff>
      <xdr:row>1</xdr:row>
      <xdr:rowOff>445559</xdr:rowOff>
    </xdr:to>
    <xdr:sp macro="" textlink="">
      <xdr:nvSpPr>
        <xdr:cNvPr id="6" name="Line Callout 1 5">
          <a:extLst>
            <a:ext uri="{FF2B5EF4-FFF2-40B4-BE49-F238E27FC236}">
              <a16:creationId xmlns:a16="http://schemas.microsoft.com/office/drawing/2014/main" id="{3A80BB8F-8EB8-1A97-D13F-F64984EA1F87}"/>
            </a:ext>
          </a:extLst>
        </xdr:cNvPr>
        <xdr:cNvSpPr/>
      </xdr:nvSpPr>
      <xdr:spPr>
        <a:xfrm>
          <a:off x="8494971" y="509477"/>
          <a:ext cx="5250345" cy="445559"/>
        </a:xfrm>
        <a:prstGeom prst="borderCallout1">
          <a:avLst>
            <a:gd name="adj1" fmla="val 30324"/>
            <a:gd name="adj2" fmla="val -1515"/>
            <a:gd name="adj3" fmla="val -58769"/>
            <a:gd name="adj4" fmla="val -3155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Use this button to open a form where the trade details can be easily entered .</a:t>
          </a:r>
          <a:r>
            <a:rPr lang="en-GB" sz="1100" baseline="0">
              <a:solidFill>
                <a:schemeClr val="lt1"/>
              </a:solidFill>
            </a:rPr>
            <a:t>.</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148591</xdr:colOff>
      <xdr:row>8</xdr:row>
      <xdr:rowOff>140335</xdr:rowOff>
    </xdr:from>
    <xdr:to>
      <xdr:col>3</xdr:col>
      <xdr:colOff>693525</xdr:colOff>
      <xdr:row>14</xdr:row>
      <xdr:rowOff>133350</xdr:rowOff>
    </xdr:to>
    <xdr:sp macro="" textlink="">
      <xdr:nvSpPr>
        <xdr:cNvPr id="5" name="Line Callout 1 4">
          <a:extLst>
            <a:ext uri="{FF2B5EF4-FFF2-40B4-BE49-F238E27FC236}">
              <a16:creationId xmlns:a16="http://schemas.microsoft.com/office/drawing/2014/main" id="{CE7235AE-ED9F-2076-F985-BE9521843B1D}"/>
            </a:ext>
          </a:extLst>
        </xdr:cNvPr>
        <xdr:cNvSpPr/>
      </xdr:nvSpPr>
      <xdr:spPr>
        <a:xfrm>
          <a:off x="2396491" y="2597785"/>
          <a:ext cx="1814934" cy="1097915"/>
        </a:xfrm>
        <a:prstGeom prst="borderCallout1">
          <a:avLst>
            <a:gd name="adj1" fmla="val -11147"/>
            <a:gd name="adj2" fmla="val 62470"/>
            <a:gd name="adj3" fmla="val -79334"/>
            <a:gd name="adj4" fmla="val 85108"/>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rtl="0">
            <a:lnSpc>
              <a:spcPts val="1100"/>
            </a:lnSpc>
          </a:pPr>
          <a:r>
            <a:rPr lang="en-US" sz="1100">
              <a:solidFill>
                <a:schemeClr val="tx1"/>
              </a:solidFill>
            </a:rPr>
            <a:t>Minimum residual term restriction </a:t>
          </a:r>
          <a:r>
            <a:rPr lang="en-US" sz="1100" baseline="0">
              <a:solidFill>
                <a:schemeClr val="tx1"/>
              </a:solidFill>
            </a:rPr>
            <a:t>of 1 business day for currencies EUR, GBP, USD, </a:t>
          </a:r>
          <a:r>
            <a:rPr lang="en-US" sz="1100" baseline="0">
              <a:solidFill>
                <a:sysClr val="windowText" lastClr="000000"/>
              </a:solidFill>
              <a:effectLst/>
              <a:latin typeface="+mn-lt"/>
              <a:ea typeface="+mn-ea"/>
              <a:cs typeface="+mn-cs"/>
            </a:rPr>
            <a:t>CHF, </a:t>
          </a:r>
          <a:r>
            <a:rPr lang="en-US" sz="1100" baseline="0">
              <a:solidFill>
                <a:sysClr val="windowText" lastClr="000000"/>
              </a:solidFill>
            </a:rPr>
            <a:t>PLN and 2 business days for currencies JPY,</a:t>
          </a:r>
          <a:r>
            <a:rPr lang="en-GB" sz="1100" b="0" i="0" u="none" strike="noStrike" baseline="0">
              <a:solidFill>
                <a:sysClr val="windowText" lastClr="000000"/>
              </a:solidFill>
              <a:latin typeface="+mn-lt"/>
              <a:ea typeface="+mn-ea"/>
              <a:cs typeface="+mn-cs"/>
            </a:rPr>
            <a:t> D</a:t>
          </a:r>
          <a:r>
            <a:rPr lang="en-GB" sz="1100" baseline="0">
              <a:solidFill>
                <a:sysClr val="windowText" lastClr="000000"/>
              </a:solidFill>
              <a:latin typeface="+mn-lt"/>
              <a:ea typeface="+mn-ea"/>
              <a:cs typeface="+mn-cs"/>
            </a:rPr>
            <a:t>KK</a:t>
          </a:r>
          <a:r>
            <a:rPr lang="en-GB" sz="1100" b="0" i="0" u="none" strike="noStrike" baseline="0">
              <a:solidFill>
                <a:sysClr val="windowText" lastClr="000000"/>
              </a:solidFill>
              <a:latin typeface="+mn-lt"/>
              <a:ea typeface="+mn-ea"/>
              <a:cs typeface="+mn-cs"/>
            </a:rPr>
            <a:t>, SEK, NOK, CZK, HUF.</a:t>
          </a:r>
          <a:endParaRPr lang="en-US" sz="1100">
            <a:solidFill>
              <a:sysClr val="windowText" lastClr="000000"/>
            </a:solidFill>
          </a:endParaRPr>
        </a:p>
      </xdr:txBody>
    </xdr:sp>
    <xdr:clientData/>
  </xdr:twoCellAnchor>
  <xdr:twoCellAnchor>
    <xdr:from>
      <xdr:col>5</xdr:col>
      <xdr:colOff>503238</xdr:colOff>
      <xdr:row>8</xdr:row>
      <xdr:rowOff>39370</xdr:rowOff>
    </xdr:from>
    <xdr:to>
      <xdr:col>11</xdr:col>
      <xdr:colOff>145403</xdr:colOff>
      <xdr:row>11</xdr:row>
      <xdr:rowOff>111711</xdr:rowOff>
    </xdr:to>
    <xdr:sp macro="" textlink="">
      <xdr:nvSpPr>
        <xdr:cNvPr id="7" name="Line Callout 1 6">
          <a:extLst>
            <a:ext uri="{FF2B5EF4-FFF2-40B4-BE49-F238E27FC236}">
              <a16:creationId xmlns:a16="http://schemas.microsoft.com/office/drawing/2014/main" id="{3554FBB0-3036-8E2A-CC3A-A69219073F78}"/>
            </a:ext>
          </a:extLst>
        </xdr:cNvPr>
        <xdr:cNvSpPr/>
      </xdr:nvSpPr>
      <xdr:spPr>
        <a:xfrm>
          <a:off x="5661978" y="2493010"/>
          <a:ext cx="3894125" cy="620981"/>
        </a:xfrm>
        <a:prstGeom prst="borderCallout1">
          <a:avLst>
            <a:gd name="adj1" fmla="val -11147"/>
            <a:gd name="adj2" fmla="val 62470"/>
            <a:gd name="adj3" fmla="val -114513"/>
            <a:gd name="adj4" fmla="val 29073"/>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For the</a:t>
          </a:r>
          <a:r>
            <a:rPr lang="en-US" sz="1100" baseline="0">
              <a:solidFill>
                <a:schemeClr val="tx1"/>
              </a:solidFill>
            </a:rPr>
            <a:t> floating leg, the number will be interpreted as 20 basis points.</a:t>
          </a:r>
          <a:endParaRPr lang="en-US" sz="1100">
            <a:solidFill>
              <a:schemeClr val="tx1"/>
            </a:solidFill>
          </a:endParaRPr>
        </a:p>
      </xdr:txBody>
    </xdr:sp>
    <xdr:clientData/>
  </xdr:twoCellAnchor>
  <xdr:twoCellAnchor>
    <xdr:from>
      <xdr:col>28</xdr:col>
      <xdr:colOff>65723</xdr:colOff>
      <xdr:row>8</xdr:row>
      <xdr:rowOff>138430</xdr:rowOff>
    </xdr:from>
    <xdr:to>
      <xdr:col>33</xdr:col>
      <xdr:colOff>314398</xdr:colOff>
      <xdr:row>11</xdr:row>
      <xdr:rowOff>95470</xdr:rowOff>
    </xdr:to>
    <xdr:sp macro="" textlink="">
      <xdr:nvSpPr>
        <xdr:cNvPr id="8" name="Line Callout 1 7">
          <a:extLst>
            <a:ext uri="{FF2B5EF4-FFF2-40B4-BE49-F238E27FC236}">
              <a16:creationId xmlns:a16="http://schemas.microsoft.com/office/drawing/2014/main" id="{90A6C8E8-F80D-823A-02AB-3902AA9B09B4}"/>
            </a:ext>
          </a:extLst>
        </xdr:cNvPr>
        <xdr:cNvSpPr/>
      </xdr:nvSpPr>
      <xdr:spPr>
        <a:xfrm>
          <a:off x="18170843" y="2592070"/>
          <a:ext cx="3761495" cy="505680"/>
        </a:xfrm>
        <a:prstGeom prst="borderCallout1">
          <a:avLst>
            <a:gd name="adj1" fmla="val -11147"/>
            <a:gd name="adj2" fmla="val 62470"/>
            <a:gd name="adj3" fmla="val -144055"/>
            <a:gd name="adj4" fmla="val 5153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For the</a:t>
          </a:r>
          <a:r>
            <a:rPr lang="en-US" sz="1100" baseline="0">
              <a:solidFill>
                <a:schemeClr val="tx1"/>
              </a:solidFill>
            </a:rPr>
            <a:t> fix leg, the number will be interpreted as 1% fix rate.</a:t>
          </a:r>
          <a:endParaRPr lang="en-US" sz="1100">
            <a:solidFill>
              <a:schemeClr val="tx1"/>
            </a:solidFill>
          </a:endParaRPr>
        </a:p>
      </xdr:txBody>
    </xdr:sp>
    <xdr:clientData/>
  </xdr:twoCellAnchor>
  <xdr:twoCellAnchor>
    <xdr:from>
      <xdr:col>22</xdr:col>
      <xdr:colOff>0</xdr:colOff>
      <xdr:row>7</xdr:row>
      <xdr:rowOff>159385</xdr:rowOff>
    </xdr:from>
    <xdr:to>
      <xdr:col>24</xdr:col>
      <xdr:colOff>472125</xdr:colOff>
      <xdr:row>12</xdr:row>
      <xdr:rowOff>1785</xdr:rowOff>
    </xdr:to>
    <xdr:sp macro="" textlink="">
      <xdr:nvSpPr>
        <xdr:cNvPr id="9" name="Line Callout 1 8">
          <a:extLst>
            <a:ext uri="{FF2B5EF4-FFF2-40B4-BE49-F238E27FC236}">
              <a16:creationId xmlns:a16="http://schemas.microsoft.com/office/drawing/2014/main" id="{74EB8EF8-54CF-181F-56ED-DB0FFCB1B4A5}"/>
            </a:ext>
          </a:extLst>
        </xdr:cNvPr>
        <xdr:cNvSpPr/>
      </xdr:nvSpPr>
      <xdr:spPr>
        <a:xfrm>
          <a:off x="12734925" y="2466975"/>
          <a:ext cx="1981200" cy="790574"/>
        </a:xfrm>
        <a:prstGeom prst="borderCallout1">
          <a:avLst>
            <a:gd name="adj1" fmla="val -11147"/>
            <a:gd name="adj2" fmla="val 62470"/>
            <a:gd name="adj3" fmla="val -72656"/>
            <a:gd name="adj4" fmla="val 13692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lnSpc>
              <a:spcPts val="1100"/>
            </a:lnSpc>
          </a:pPr>
          <a:r>
            <a:rPr lang="en-US" sz="1100">
              <a:solidFill>
                <a:schemeClr val="tx1"/>
              </a:solidFill>
              <a:latin typeface="+mn-lt"/>
              <a:ea typeface="+mn-ea"/>
              <a:cs typeface="+mn-cs"/>
            </a:rPr>
            <a:t>If no value  was enterd by the user, adjusted and standard values will be used for calculation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21</xdr:col>
      <xdr:colOff>803769</xdr:colOff>
      <xdr:row>37</xdr:row>
      <xdr:rowOff>148871</xdr:rowOff>
    </xdr:from>
    <xdr:to>
      <xdr:col>26</xdr:col>
      <xdr:colOff>35967</xdr:colOff>
      <xdr:row>41</xdr:row>
      <xdr:rowOff>67783</xdr:rowOff>
    </xdr:to>
    <xdr:sp macro="" textlink="">
      <xdr:nvSpPr>
        <xdr:cNvPr id="3" name="Line Callout 1 2">
          <a:extLst>
            <a:ext uri="{FF2B5EF4-FFF2-40B4-BE49-F238E27FC236}">
              <a16:creationId xmlns:a16="http://schemas.microsoft.com/office/drawing/2014/main" id="{4E67AEA1-AD89-1A44-72A4-372C2BB95C26}"/>
            </a:ext>
          </a:extLst>
        </xdr:cNvPr>
        <xdr:cNvSpPr/>
      </xdr:nvSpPr>
      <xdr:spPr>
        <a:xfrm>
          <a:off x="17398436" y="7924093"/>
          <a:ext cx="2759975" cy="652690"/>
        </a:xfrm>
        <a:prstGeom prst="borderCallout1">
          <a:avLst>
            <a:gd name="adj1" fmla="val -11147"/>
            <a:gd name="adj2" fmla="val 62470"/>
            <a:gd name="adj3" fmla="val -237297"/>
            <a:gd name="adj4" fmla="val -4198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a:t>
          </a:r>
          <a:r>
            <a:rPr lang="en-US" sz="1100" baseline="0">
              <a:solidFill>
                <a:schemeClr val="tx1"/>
              </a:solidFill>
            </a:rPr>
            <a:t> interpolation tenors should be neighbours of the payment period. </a:t>
          </a:r>
          <a:endParaRPr lang="en-US" sz="1100">
            <a:solidFill>
              <a:schemeClr val="tx1"/>
            </a:solidFill>
          </a:endParaRPr>
        </a:p>
      </xdr:txBody>
    </xdr:sp>
    <xdr:clientData/>
  </xdr:twoCellAnchor>
  <xdr:twoCellAnchor>
    <xdr:from>
      <xdr:col>37</xdr:col>
      <xdr:colOff>592667</xdr:colOff>
      <xdr:row>39</xdr:row>
      <xdr:rowOff>98776</xdr:rowOff>
    </xdr:from>
    <xdr:to>
      <xdr:col>40</xdr:col>
      <xdr:colOff>872977</xdr:colOff>
      <xdr:row>48</xdr:row>
      <xdr:rowOff>84666</xdr:rowOff>
    </xdr:to>
    <xdr:sp macro="" textlink="">
      <xdr:nvSpPr>
        <xdr:cNvPr id="4" name="Line Callout 1 6">
          <a:extLst>
            <a:ext uri="{FF2B5EF4-FFF2-40B4-BE49-F238E27FC236}">
              <a16:creationId xmlns:a16="http://schemas.microsoft.com/office/drawing/2014/main" id="{59E9A37B-345B-423D-AD67-4C244A9AD869}"/>
            </a:ext>
          </a:extLst>
        </xdr:cNvPr>
        <xdr:cNvSpPr/>
      </xdr:nvSpPr>
      <xdr:spPr>
        <a:xfrm>
          <a:off x="27114500" y="8501943"/>
          <a:ext cx="2090060" cy="1700390"/>
        </a:xfrm>
        <a:prstGeom prst="borderCallout1">
          <a:avLst>
            <a:gd name="adj1" fmla="val -11147"/>
            <a:gd name="adj2" fmla="val 62470"/>
            <a:gd name="adj3" fmla="val -414436"/>
            <a:gd name="adj4" fmla="val 6511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For Initial or Start</a:t>
          </a:r>
          <a:r>
            <a:rPr lang="en-US" sz="1100" baseline="0">
              <a:solidFill>
                <a:schemeClr val="tx1"/>
              </a:solidFill>
            </a:rPr>
            <a:t> Stub, Start of Regular Period date should be provided.</a:t>
          </a:r>
        </a:p>
        <a:p>
          <a:r>
            <a:rPr lang="en-US" sz="1100" baseline="0">
              <a:solidFill>
                <a:schemeClr val="tx1"/>
              </a:solidFill>
            </a:rPr>
            <a:t>Interplation tenors for the initial stub (if applicable), should be provided in the fields: Initial Stub 1st Interpolation Tenor and Initial Stub 2nd Interpolation Tenor</a:t>
          </a:r>
          <a:endParaRPr lang="en-US" sz="1100">
            <a:solidFill>
              <a:schemeClr val="tx1"/>
            </a:solidFill>
          </a:endParaRPr>
        </a:p>
      </xdr:txBody>
    </xdr:sp>
    <xdr:clientData/>
  </xdr:twoCellAnchor>
  <xdr:twoCellAnchor>
    <xdr:from>
      <xdr:col>41</xdr:col>
      <xdr:colOff>938390</xdr:colOff>
      <xdr:row>39</xdr:row>
      <xdr:rowOff>112888</xdr:rowOff>
    </xdr:from>
    <xdr:to>
      <xdr:col>44</xdr:col>
      <xdr:colOff>190500</xdr:colOff>
      <xdr:row>47</xdr:row>
      <xdr:rowOff>169333</xdr:rowOff>
    </xdr:to>
    <xdr:sp macro="" textlink="">
      <xdr:nvSpPr>
        <xdr:cNvPr id="12" name="Line Callout 1 6">
          <a:extLst>
            <a:ext uri="{FF2B5EF4-FFF2-40B4-BE49-F238E27FC236}">
              <a16:creationId xmlns:a16="http://schemas.microsoft.com/office/drawing/2014/main" id="{7A5AD625-7E71-44B5-81C8-E30FB1ACE5D5}"/>
            </a:ext>
          </a:extLst>
        </xdr:cNvPr>
        <xdr:cNvSpPr/>
      </xdr:nvSpPr>
      <xdr:spPr>
        <a:xfrm>
          <a:off x="30243640" y="8516055"/>
          <a:ext cx="2130777" cy="1580445"/>
        </a:xfrm>
        <a:prstGeom prst="borderCallout1">
          <a:avLst>
            <a:gd name="adj1" fmla="val -11147"/>
            <a:gd name="adj2" fmla="val 62470"/>
            <a:gd name="adj3" fmla="val -474394"/>
            <a:gd name="adj4" fmla="val -1016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For Final or End</a:t>
          </a:r>
          <a:r>
            <a:rPr lang="en-US" sz="1100" baseline="0">
              <a:solidFill>
                <a:schemeClr val="tx1"/>
              </a:solidFill>
            </a:rPr>
            <a:t> Stub, End of Regular Period date should be provided.</a:t>
          </a:r>
        </a:p>
        <a:p>
          <a:r>
            <a:rPr lang="en-US" sz="1100" baseline="0">
              <a:solidFill>
                <a:schemeClr val="tx1"/>
              </a:solidFill>
            </a:rPr>
            <a:t>Interplation tenors for the final stub (if applicable), should be provided in the fields: Final Stub 1st Interpolation Tenor and Final Stub 2nd Interpolation Tenor</a:t>
          </a:r>
          <a:endParaRPr lang="en-US" sz="1100">
            <a:solidFill>
              <a:schemeClr val="tx1"/>
            </a:solidFill>
          </a:endParaRPr>
        </a:p>
      </xdr:txBody>
    </xdr:sp>
    <xdr:clientData/>
  </xdr:twoCellAnchor>
  <xdr:twoCellAnchor>
    <xdr:from>
      <xdr:col>14</xdr:col>
      <xdr:colOff>105834</xdr:colOff>
      <xdr:row>39</xdr:row>
      <xdr:rowOff>63501</xdr:rowOff>
    </xdr:from>
    <xdr:to>
      <xdr:col>16</xdr:col>
      <xdr:colOff>830644</xdr:colOff>
      <xdr:row>47</xdr:row>
      <xdr:rowOff>158750</xdr:rowOff>
    </xdr:to>
    <xdr:sp macro="" textlink="">
      <xdr:nvSpPr>
        <xdr:cNvPr id="13" name="Line Callout 1 6">
          <a:extLst>
            <a:ext uri="{FF2B5EF4-FFF2-40B4-BE49-F238E27FC236}">
              <a16:creationId xmlns:a16="http://schemas.microsoft.com/office/drawing/2014/main" id="{2567684F-1507-40DE-B7CC-FF3F6C2AA04A}"/>
            </a:ext>
          </a:extLst>
        </xdr:cNvPr>
        <xdr:cNvSpPr/>
      </xdr:nvSpPr>
      <xdr:spPr>
        <a:xfrm>
          <a:off x="9916584" y="8466668"/>
          <a:ext cx="2100643" cy="1619249"/>
        </a:xfrm>
        <a:prstGeom prst="borderCallout1">
          <a:avLst>
            <a:gd name="adj1" fmla="val -11147"/>
            <a:gd name="adj2" fmla="val 62470"/>
            <a:gd name="adj3" fmla="val -470453"/>
            <a:gd name="adj4" fmla="val 7068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For Initial</a:t>
          </a:r>
          <a:r>
            <a:rPr lang="en-US" sz="1100" baseline="0">
              <a:solidFill>
                <a:schemeClr val="tx1"/>
              </a:solidFill>
            </a:rPr>
            <a:t> or Start Stub, Start date of the first regular period should be provided.</a:t>
          </a:r>
        </a:p>
        <a:p>
          <a:r>
            <a:rPr lang="en-US" sz="1100" baseline="0">
              <a:solidFill>
                <a:schemeClr val="tx1"/>
              </a:solidFill>
            </a:rPr>
            <a:t>Interpolation tenors for the initial stub (if applicable), should be provided in the fields: Initial Stub 1st Interpolation Tenor and Initial Stub 2nd Interpolation Tenor</a:t>
          </a:r>
          <a:endParaRPr lang="en-US" sz="1100">
            <a:solidFill>
              <a:schemeClr val="tx1"/>
            </a:solidFill>
          </a:endParaRPr>
        </a:p>
      </xdr:txBody>
    </xdr:sp>
    <xdr:clientData/>
  </xdr:twoCellAnchor>
  <xdr:twoCellAnchor>
    <xdr:from>
      <xdr:col>18</xdr:col>
      <xdr:colOff>211667</xdr:colOff>
      <xdr:row>39</xdr:row>
      <xdr:rowOff>127000</xdr:rowOff>
    </xdr:from>
    <xdr:to>
      <xdr:col>20</xdr:col>
      <xdr:colOff>372032</xdr:colOff>
      <xdr:row>48</xdr:row>
      <xdr:rowOff>0</xdr:rowOff>
    </xdr:to>
    <xdr:sp macro="" textlink="">
      <xdr:nvSpPr>
        <xdr:cNvPr id="14" name="Line Callout 1 6">
          <a:extLst>
            <a:ext uri="{FF2B5EF4-FFF2-40B4-BE49-F238E27FC236}">
              <a16:creationId xmlns:a16="http://schemas.microsoft.com/office/drawing/2014/main" id="{7AB65992-2956-4E76-8160-D0A1D259BE25}"/>
            </a:ext>
          </a:extLst>
        </xdr:cNvPr>
        <xdr:cNvSpPr/>
      </xdr:nvSpPr>
      <xdr:spPr>
        <a:xfrm>
          <a:off x="13335000" y="8530167"/>
          <a:ext cx="2075949" cy="1587500"/>
        </a:xfrm>
        <a:prstGeom prst="borderCallout1">
          <a:avLst>
            <a:gd name="adj1" fmla="val -11147"/>
            <a:gd name="adj2" fmla="val 62470"/>
            <a:gd name="adj3" fmla="val -472916"/>
            <a:gd name="adj4" fmla="val -17338"/>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For Final</a:t>
          </a:r>
          <a:r>
            <a:rPr lang="en-US" sz="1100" baseline="0">
              <a:solidFill>
                <a:schemeClr val="tx1"/>
              </a:solidFill>
            </a:rPr>
            <a:t> or End Stub, End date of the last regular period should be provided.</a:t>
          </a:r>
        </a:p>
        <a:p>
          <a:r>
            <a:rPr lang="en-US" sz="1100" baseline="0">
              <a:solidFill>
                <a:schemeClr val="tx1"/>
              </a:solidFill>
            </a:rPr>
            <a:t>Interpolation tenors for the final stub (if applicable), should be provided in the fields: Final Stub 1st Interpolation Tenor and Final Stub 2nd Interpolation Tenor</a:t>
          </a:r>
          <a:endParaRPr lang="en-US" sz="1100">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230505</xdr:colOff>
      <xdr:row>19</xdr:row>
      <xdr:rowOff>92710</xdr:rowOff>
    </xdr:from>
    <xdr:to>
      <xdr:col>9</xdr:col>
      <xdr:colOff>804161</xdr:colOff>
      <xdr:row>24</xdr:row>
      <xdr:rowOff>50800</xdr:rowOff>
    </xdr:to>
    <xdr:sp macro="" textlink="">
      <xdr:nvSpPr>
        <xdr:cNvPr id="2" name="Line Callout 1 1">
          <a:extLst>
            <a:ext uri="{FF2B5EF4-FFF2-40B4-BE49-F238E27FC236}">
              <a16:creationId xmlns:a16="http://schemas.microsoft.com/office/drawing/2014/main" id="{C57095D6-EEF2-B6C7-EAB5-B0967EB22040}"/>
            </a:ext>
          </a:extLst>
        </xdr:cNvPr>
        <xdr:cNvSpPr/>
      </xdr:nvSpPr>
      <xdr:spPr>
        <a:xfrm>
          <a:off x="3869055" y="5064760"/>
          <a:ext cx="2859656" cy="910590"/>
        </a:xfrm>
        <a:prstGeom prst="borderCallout1">
          <a:avLst>
            <a:gd name="adj1" fmla="val -11147"/>
            <a:gd name="adj2" fmla="val 62470"/>
            <a:gd name="adj3" fmla="val -342022"/>
            <a:gd name="adj4" fmla="val 9450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If interest</a:t>
          </a:r>
          <a:r>
            <a:rPr lang="en-US" sz="1100" baseline="0">
              <a:solidFill>
                <a:schemeClr val="tx1"/>
              </a:solidFill>
            </a:rPr>
            <a:t> fixed amount is  entered on the FIX leg, the notional and rate are not relevant (should be empty).</a:t>
          </a:r>
          <a:endParaRPr lang="en-US" sz="1100">
            <a:solidFill>
              <a:schemeClr val="tx1"/>
            </a:solidFill>
          </a:endParaRPr>
        </a:p>
      </xdr:txBody>
    </xdr:sp>
    <xdr:clientData/>
  </xdr:twoCellAnchor>
  <xdr:twoCellAnchor>
    <xdr:from>
      <xdr:col>10</xdr:col>
      <xdr:colOff>629921</xdr:colOff>
      <xdr:row>11</xdr:row>
      <xdr:rowOff>514350</xdr:rowOff>
    </xdr:from>
    <xdr:to>
      <xdr:col>13</xdr:col>
      <xdr:colOff>472205</xdr:colOff>
      <xdr:row>15</xdr:row>
      <xdr:rowOff>62724</xdr:rowOff>
    </xdr:to>
    <xdr:sp macro="" textlink="">
      <xdr:nvSpPr>
        <xdr:cNvPr id="3" name="Line Callout 1 2">
          <a:extLst>
            <a:ext uri="{FF2B5EF4-FFF2-40B4-BE49-F238E27FC236}">
              <a16:creationId xmlns:a16="http://schemas.microsoft.com/office/drawing/2014/main" id="{A5FE7984-E4D6-3470-5636-CF9EFDDA5B04}"/>
            </a:ext>
          </a:extLst>
        </xdr:cNvPr>
        <xdr:cNvSpPr/>
      </xdr:nvSpPr>
      <xdr:spPr>
        <a:xfrm>
          <a:off x="7581900" y="3390900"/>
          <a:ext cx="1981200" cy="695325"/>
        </a:xfrm>
        <a:prstGeom prst="borderCallout1">
          <a:avLst>
            <a:gd name="adj1" fmla="val -11147"/>
            <a:gd name="adj2" fmla="val 62470"/>
            <a:gd name="adj3" fmla="val -244601"/>
            <a:gd name="adj4" fmla="val 3836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tx1"/>
              </a:solidFill>
              <a:latin typeface="+mn-lt"/>
              <a:ea typeface="+mn-ea"/>
              <a:cs typeface="+mn-cs"/>
            </a:rPr>
            <a:t>The payment period is </a:t>
          </a:r>
          <a:r>
            <a:rPr lang="en-GB" sz="1100">
              <a:solidFill>
                <a:schemeClr val="tx1"/>
              </a:solidFill>
              <a:latin typeface="+mn-lt"/>
              <a:ea typeface="+mn-ea"/>
              <a:cs typeface="+mn-cs"/>
            </a:rPr>
            <a:t>ZERO_C (1T</a:t>
          </a:r>
          <a:r>
            <a:rPr lang="en-GB" sz="1100" baseline="0">
              <a:solidFill>
                <a:schemeClr val="tx1"/>
              </a:solidFill>
              <a:latin typeface="+mn-lt"/>
              <a:ea typeface="+mn-ea"/>
              <a:cs typeface="+mn-cs"/>
            </a:rPr>
            <a:t> in csv file</a:t>
          </a:r>
          <a:r>
            <a:rPr lang="en-GB" sz="1100">
              <a:solidFill>
                <a:schemeClr val="tx1"/>
              </a:solidFill>
              <a:latin typeface="+mn-lt"/>
              <a:ea typeface="+mn-ea"/>
              <a:cs typeface="+mn-cs"/>
            </a:rPr>
            <a:t> )</a:t>
          </a:r>
          <a:endParaRPr lang="en-US" sz="1100">
            <a:solidFill>
              <a:schemeClr val="tx1"/>
            </a:solidFill>
            <a:latin typeface="+mn-lt"/>
            <a:ea typeface="+mn-ea"/>
            <a:cs typeface="+mn-cs"/>
          </a:endParaRPr>
        </a:p>
      </xdr:txBody>
    </xdr:sp>
    <xdr:clientData/>
  </xdr:twoCellAnchor>
  <xdr:twoCellAnchor>
    <xdr:from>
      <xdr:col>23</xdr:col>
      <xdr:colOff>546418</xdr:colOff>
      <xdr:row>11</xdr:row>
      <xdr:rowOff>542925</xdr:rowOff>
    </xdr:from>
    <xdr:to>
      <xdr:col>27</xdr:col>
      <xdr:colOff>472156</xdr:colOff>
      <xdr:row>16</xdr:row>
      <xdr:rowOff>1298</xdr:rowOff>
    </xdr:to>
    <xdr:sp macro="" textlink="">
      <xdr:nvSpPr>
        <xdr:cNvPr id="4" name="Line Callout 1 3">
          <a:extLst>
            <a:ext uri="{FF2B5EF4-FFF2-40B4-BE49-F238E27FC236}">
              <a16:creationId xmlns:a16="http://schemas.microsoft.com/office/drawing/2014/main" id="{38710244-A7E5-2FB5-B8AE-5DDFD5243AD3}"/>
            </a:ext>
          </a:extLst>
        </xdr:cNvPr>
        <xdr:cNvSpPr/>
      </xdr:nvSpPr>
      <xdr:spPr>
        <a:xfrm>
          <a:off x="13906500" y="3609975"/>
          <a:ext cx="1981200" cy="790574"/>
        </a:xfrm>
        <a:prstGeom prst="borderCallout1">
          <a:avLst>
            <a:gd name="adj1" fmla="val -11147"/>
            <a:gd name="adj2" fmla="val 62470"/>
            <a:gd name="adj3" fmla="val -214825"/>
            <a:gd name="adj4" fmla="val 7586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If no value was entered</a:t>
          </a:r>
          <a:r>
            <a:rPr lang="en-US" sz="1100" baseline="0">
              <a:solidFill>
                <a:schemeClr val="tx1"/>
              </a:solidFill>
            </a:rPr>
            <a:t> , </a:t>
          </a:r>
          <a:r>
            <a:rPr lang="en-US" sz="1100">
              <a:solidFill>
                <a:schemeClr val="tx1"/>
              </a:solidFill>
            </a:rPr>
            <a:t>adjusted</a:t>
          </a:r>
          <a:r>
            <a:rPr lang="en-US" sz="1100" baseline="0">
              <a:solidFill>
                <a:schemeClr val="tx1"/>
              </a:solidFill>
            </a:rPr>
            <a:t> and standard will be used for the calculation.</a:t>
          </a:r>
          <a:endParaRPr lang="en-US" sz="1100">
            <a:solidFill>
              <a:schemeClr val="tx1"/>
            </a:solidFill>
          </a:endParaRPr>
        </a:p>
      </xdr:txBody>
    </xdr:sp>
    <xdr:clientData/>
  </xdr:twoCellAnchor>
  <xdr:twoCellAnchor>
    <xdr:from>
      <xdr:col>47</xdr:col>
      <xdr:colOff>1029335</xdr:colOff>
      <xdr:row>11</xdr:row>
      <xdr:rowOff>176530</xdr:rowOff>
    </xdr:from>
    <xdr:to>
      <xdr:col>51</xdr:col>
      <xdr:colOff>471971</xdr:colOff>
      <xdr:row>14</xdr:row>
      <xdr:rowOff>2121</xdr:rowOff>
    </xdr:to>
    <xdr:sp macro="" textlink="">
      <xdr:nvSpPr>
        <xdr:cNvPr id="5" name="Line Callout 1 4">
          <a:extLst>
            <a:ext uri="{FF2B5EF4-FFF2-40B4-BE49-F238E27FC236}">
              <a16:creationId xmlns:a16="http://schemas.microsoft.com/office/drawing/2014/main" id="{78C27238-9900-17F4-41D0-536898ED3A53}"/>
            </a:ext>
          </a:extLst>
        </xdr:cNvPr>
        <xdr:cNvSpPr/>
      </xdr:nvSpPr>
      <xdr:spPr>
        <a:xfrm>
          <a:off x="25574625" y="3228975"/>
          <a:ext cx="1981200" cy="790574"/>
        </a:xfrm>
        <a:prstGeom prst="borderCallout1">
          <a:avLst>
            <a:gd name="adj1" fmla="val -11147"/>
            <a:gd name="adj2" fmla="val 62470"/>
            <a:gd name="adj3" fmla="val -165427"/>
            <a:gd name="adj4" fmla="val 7393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100"/>
            </a:lnSpc>
          </a:pPr>
          <a:r>
            <a:rPr lang="en-US" sz="1100">
              <a:solidFill>
                <a:schemeClr val="tx1"/>
              </a:solidFill>
            </a:rPr>
            <a:t>If no value was entered</a:t>
          </a:r>
          <a:r>
            <a:rPr lang="en-US" sz="1100" baseline="0">
              <a:solidFill>
                <a:schemeClr val="tx1"/>
              </a:solidFill>
            </a:rPr>
            <a:t>  by the user , </a:t>
          </a:r>
          <a:r>
            <a:rPr lang="en-US" sz="1100">
              <a:solidFill>
                <a:schemeClr val="tx1"/>
              </a:solidFill>
            </a:rPr>
            <a:t>adjusted</a:t>
          </a:r>
          <a:r>
            <a:rPr lang="en-US" sz="1100" baseline="0">
              <a:solidFill>
                <a:schemeClr val="tx1"/>
              </a:solidFill>
            </a:rPr>
            <a:t> and standard will be used for the calculation.</a:t>
          </a:r>
          <a:endParaRPr lang="en-US" sz="1100">
            <a:solidFill>
              <a:schemeClr val="tx1"/>
            </a:solidFill>
          </a:endParaRPr>
        </a:p>
      </xdr:txBody>
    </xdr:sp>
    <xdr:clientData/>
  </xdr:twoCellAnchor>
  <xdr:twoCellAnchor>
    <xdr:from>
      <xdr:col>3</xdr:col>
      <xdr:colOff>238125</xdr:colOff>
      <xdr:row>9</xdr:row>
      <xdr:rowOff>176530</xdr:rowOff>
    </xdr:from>
    <xdr:to>
      <xdr:col>6</xdr:col>
      <xdr:colOff>587020</xdr:colOff>
      <xdr:row>11</xdr:row>
      <xdr:rowOff>264178</xdr:rowOff>
    </xdr:to>
    <xdr:sp macro="" textlink="">
      <xdr:nvSpPr>
        <xdr:cNvPr id="7" name="Line Callout 1 6">
          <a:extLst>
            <a:ext uri="{FF2B5EF4-FFF2-40B4-BE49-F238E27FC236}">
              <a16:creationId xmlns:a16="http://schemas.microsoft.com/office/drawing/2014/main" id="{E4B4067E-5A29-69F0-6430-128802042277}"/>
            </a:ext>
          </a:extLst>
        </xdr:cNvPr>
        <xdr:cNvSpPr/>
      </xdr:nvSpPr>
      <xdr:spPr>
        <a:xfrm>
          <a:off x="2546985" y="2813050"/>
          <a:ext cx="2901595" cy="453408"/>
        </a:xfrm>
        <a:prstGeom prst="borderCallout1">
          <a:avLst>
            <a:gd name="adj1" fmla="val -11147"/>
            <a:gd name="adj2" fmla="val 62470"/>
            <a:gd name="adj3" fmla="val -197844"/>
            <a:gd name="adj4" fmla="val 9377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If interest</a:t>
          </a:r>
          <a:r>
            <a:rPr lang="en-US" sz="1100" baseline="0">
              <a:solidFill>
                <a:schemeClr val="tx1"/>
              </a:solidFill>
            </a:rPr>
            <a:t> fixed amount field is empty, rate and notional and mandatory</a:t>
          </a:r>
          <a:endParaRPr lang="en-US" sz="1100">
            <a:solidFill>
              <a:schemeClr val="tx1"/>
            </a:solidFill>
          </a:endParaRPr>
        </a:p>
      </xdr:txBody>
    </xdr:sp>
    <xdr:clientData/>
  </xdr:twoCellAnchor>
  <xdr:twoCellAnchor>
    <xdr:from>
      <xdr:col>16</xdr:col>
      <xdr:colOff>419100</xdr:colOff>
      <xdr:row>11</xdr:row>
      <xdr:rowOff>457200</xdr:rowOff>
    </xdr:from>
    <xdr:to>
      <xdr:col>18</xdr:col>
      <xdr:colOff>289959</xdr:colOff>
      <xdr:row>15</xdr:row>
      <xdr:rowOff>5574</xdr:rowOff>
    </xdr:to>
    <xdr:sp macro="" textlink="">
      <xdr:nvSpPr>
        <xdr:cNvPr id="6" name="Line Callout 1 2">
          <a:extLst>
            <a:ext uri="{FF2B5EF4-FFF2-40B4-BE49-F238E27FC236}">
              <a16:creationId xmlns:a16="http://schemas.microsoft.com/office/drawing/2014/main" id="{AE394D61-DE58-4CF6-BFFA-5FFE737B0EEB}"/>
            </a:ext>
          </a:extLst>
        </xdr:cNvPr>
        <xdr:cNvSpPr/>
      </xdr:nvSpPr>
      <xdr:spPr>
        <a:xfrm>
          <a:off x="11887200" y="3524250"/>
          <a:ext cx="1937784" cy="691374"/>
        </a:xfrm>
        <a:prstGeom prst="borderCallout1">
          <a:avLst>
            <a:gd name="adj1" fmla="val -11147"/>
            <a:gd name="adj2" fmla="val 62470"/>
            <a:gd name="adj3" fmla="val -244601"/>
            <a:gd name="adj4" fmla="val 3836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rgbClr val="00B050"/>
              </a:solidFill>
              <a:latin typeface="+mn-lt"/>
              <a:ea typeface="+mn-ea"/>
              <a:cs typeface="+mn-cs"/>
            </a:rPr>
            <a:t>For a</a:t>
          </a:r>
          <a:r>
            <a:rPr lang="en-US" sz="1100" baseline="0">
              <a:solidFill>
                <a:srgbClr val="00B050"/>
              </a:solidFill>
              <a:latin typeface="+mn-lt"/>
              <a:ea typeface="+mn-ea"/>
              <a:cs typeface="+mn-cs"/>
            </a:rPr>
            <a:t> leg with ZERO_C Payment period, stubs are not supported</a:t>
          </a:r>
          <a:endParaRPr lang="en-US" sz="1100">
            <a:solidFill>
              <a:srgbClr val="00B050"/>
            </a:solidFill>
            <a:latin typeface="+mn-lt"/>
            <a:ea typeface="+mn-ea"/>
            <a:cs typeface="+mn-cs"/>
          </a:endParaRPr>
        </a:p>
      </xdr:txBody>
    </xdr:sp>
    <xdr:clientData/>
  </xdr:twoCellAnchor>
  <xdr:twoCellAnchor>
    <xdr:from>
      <xdr:col>42</xdr:col>
      <xdr:colOff>0</xdr:colOff>
      <xdr:row>11</xdr:row>
      <xdr:rowOff>285750</xdr:rowOff>
    </xdr:from>
    <xdr:to>
      <xdr:col>43</xdr:col>
      <xdr:colOff>985284</xdr:colOff>
      <xdr:row>14</xdr:row>
      <xdr:rowOff>24624</xdr:rowOff>
    </xdr:to>
    <xdr:sp macro="" textlink="">
      <xdr:nvSpPr>
        <xdr:cNvPr id="8" name="Line Callout 1 2">
          <a:extLst>
            <a:ext uri="{FF2B5EF4-FFF2-40B4-BE49-F238E27FC236}">
              <a16:creationId xmlns:a16="http://schemas.microsoft.com/office/drawing/2014/main" id="{CDAE1462-B373-43CF-B76A-01CD038118CE}"/>
            </a:ext>
          </a:extLst>
        </xdr:cNvPr>
        <xdr:cNvSpPr/>
      </xdr:nvSpPr>
      <xdr:spPr>
        <a:xfrm>
          <a:off x="30956250" y="3352800"/>
          <a:ext cx="1937784" cy="691374"/>
        </a:xfrm>
        <a:prstGeom prst="borderCallout1">
          <a:avLst>
            <a:gd name="adj1" fmla="val -11147"/>
            <a:gd name="adj2" fmla="val 62470"/>
            <a:gd name="adj3" fmla="val -244601"/>
            <a:gd name="adj4" fmla="val 3836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rgbClr val="00B050"/>
              </a:solidFill>
              <a:latin typeface="+mn-lt"/>
              <a:ea typeface="+mn-ea"/>
              <a:cs typeface="+mn-cs"/>
            </a:rPr>
            <a:t>For a</a:t>
          </a:r>
          <a:r>
            <a:rPr lang="en-US" sz="1100" baseline="0">
              <a:solidFill>
                <a:srgbClr val="00B050"/>
              </a:solidFill>
              <a:latin typeface="+mn-lt"/>
              <a:ea typeface="+mn-ea"/>
              <a:cs typeface="+mn-cs"/>
            </a:rPr>
            <a:t> leg with ZERO_C Payment period, stubs are not supported</a:t>
          </a:r>
          <a:endParaRPr lang="en-US" sz="1100">
            <a:solidFill>
              <a:srgbClr val="00B050"/>
            </a:solidFill>
            <a:latin typeface="+mn-lt"/>
            <a:ea typeface="+mn-ea"/>
            <a:cs typeface="+mn-cs"/>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241618</xdr:colOff>
      <xdr:row>10</xdr:row>
      <xdr:rowOff>6984</xdr:rowOff>
    </xdr:from>
    <xdr:to>
      <xdr:col>12</xdr:col>
      <xdr:colOff>570954</xdr:colOff>
      <xdr:row>14</xdr:row>
      <xdr:rowOff>54671</xdr:rowOff>
    </xdr:to>
    <xdr:sp macro="" textlink="">
      <xdr:nvSpPr>
        <xdr:cNvPr id="2" name="Line Callout 1 1">
          <a:extLst>
            <a:ext uri="{FF2B5EF4-FFF2-40B4-BE49-F238E27FC236}">
              <a16:creationId xmlns:a16="http://schemas.microsoft.com/office/drawing/2014/main" id="{CB19633F-CAE5-0E3D-3CC8-5AB59F23BF6D}"/>
            </a:ext>
          </a:extLst>
        </xdr:cNvPr>
        <xdr:cNvSpPr/>
      </xdr:nvSpPr>
      <xdr:spPr>
        <a:xfrm>
          <a:off x="6623368" y="2883534"/>
          <a:ext cx="2129561" cy="1190687"/>
        </a:xfrm>
        <a:prstGeom prst="borderCallout1">
          <a:avLst>
            <a:gd name="adj1" fmla="val -11147"/>
            <a:gd name="adj2" fmla="val 62470"/>
            <a:gd name="adj3" fmla="val -123329"/>
            <a:gd name="adj4" fmla="val 6286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Designated maturity (the term between effective and termination dates) should be</a:t>
          </a:r>
          <a:r>
            <a:rPr lang="en-US" sz="1100" baseline="0">
              <a:solidFill>
                <a:schemeClr val="tx1"/>
              </a:solidFill>
            </a:rPr>
            <a:t> equal to the payment period.</a:t>
          </a:r>
          <a:endParaRPr lang="en-US" sz="1100">
            <a:solidFill>
              <a:schemeClr val="tx1"/>
            </a:solidFill>
          </a:endParaRPr>
        </a:p>
      </xdr:txBody>
    </xdr:sp>
    <xdr:clientData/>
  </xdr:twoCellAnchor>
  <xdr:twoCellAnchor>
    <xdr:from>
      <xdr:col>33</xdr:col>
      <xdr:colOff>232728</xdr:colOff>
      <xdr:row>10</xdr:row>
      <xdr:rowOff>49530</xdr:rowOff>
    </xdr:from>
    <xdr:to>
      <xdr:col>36</xdr:col>
      <xdr:colOff>511498</xdr:colOff>
      <xdr:row>14</xdr:row>
      <xdr:rowOff>102423</xdr:rowOff>
    </xdr:to>
    <xdr:sp macro="" textlink="">
      <xdr:nvSpPr>
        <xdr:cNvPr id="3" name="Line Callout 1 2">
          <a:extLst>
            <a:ext uri="{FF2B5EF4-FFF2-40B4-BE49-F238E27FC236}">
              <a16:creationId xmlns:a16="http://schemas.microsoft.com/office/drawing/2014/main" id="{400F04B2-DE94-3020-1908-0E24B9C16B0C}"/>
            </a:ext>
          </a:extLst>
        </xdr:cNvPr>
        <xdr:cNvSpPr/>
      </xdr:nvSpPr>
      <xdr:spPr>
        <a:xfrm>
          <a:off x="16906875" y="2933700"/>
          <a:ext cx="2143125" cy="809625"/>
        </a:xfrm>
        <a:prstGeom prst="borderCallout1">
          <a:avLst>
            <a:gd name="adj1" fmla="val -11147"/>
            <a:gd name="adj2" fmla="val 62470"/>
            <a:gd name="adj3" fmla="val -137445"/>
            <a:gd name="adj4" fmla="val 6153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Designated maturity (the term between effective and termination dates) should be</a:t>
          </a:r>
          <a:r>
            <a:rPr lang="en-US" sz="1100" baseline="0">
              <a:solidFill>
                <a:schemeClr val="tx1"/>
              </a:solidFill>
            </a:rPr>
            <a:t> equal to the payment period.</a:t>
          </a:r>
          <a:endParaRPr lang="en-US" sz="1100">
            <a:solidFill>
              <a:schemeClr val="tx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320041</xdr:colOff>
      <xdr:row>19</xdr:row>
      <xdr:rowOff>69850</xdr:rowOff>
    </xdr:from>
    <xdr:to>
      <xdr:col>3</xdr:col>
      <xdr:colOff>133350</xdr:colOff>
      <xdr:row>24</xdr:row>
      <xdr:rowOff>292100</xdr:rowOff>
    </xdr:to>
    <xdr:sp macro="" textlink="">
      <xdr:nvSpPr>
        <xdr:cNvPr id="2" name="Line Callout 1 1">
          <a:extLst>
            <a:ext uri="{FF2B5EF4-FFF2-40B4-BE49-F238E27FC236}">
              <a16:creationId xmlns:a16="http://schemas.microsoft.com/office/drawing/2014/main" id="{8639AA6A-DEFF-14E9-AB3E-16B0CDF5681E}"/>
            </a:ext>
          </a:extLst>
        </xdr:cNvPr>
        <xdr:cNvSpPr/>
      </xdr:nvSpPr>
      <xdr:spPr>
        <a:xfrm>
          <a:off x="1386841" y="4552950"/>
          <a:ext cx="1083309" cy="1143000"/>
        </a:xfrm>
        <a:prstGeom prst="borderCallout1">
          <a:avLst>
            <a:gd name="adj1" fmla="val -11147"/>
            <a:gd name="adj2" fmla="val 62470"/>
            <a:gd name="adj3" fmla="val -130800"/>
            <a:gd name="adj4" fmla="val -4490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100"/>
            </a:lnSpc>
          </a:pPr>
          <a:r>
            <a:rPr lang="en-US" sz="1100">
              <a:solidFill>
                <a:schemeClr val="tx1"/>
              </a:solidFill>
            </a:rPr>
            <a:t>One VNS is entered</a:t>
          </a:r>
          <a:r>
            <a:rPr lang="en-US" sz="1100" baseline="0">
              <a:solidFill>
                <a:schemeClr val="tx1"/>
              </a:solidFill>
            </a:rPr>
            <a:t> in more than one row. Each row has the same internal trade ID.</a:t>
          </a:r>
          <a:endParaRPr lang="en-US" sz="1100">
            <a:solidFill>
              <a:schemeClr val="tx1"/>
            </a:solidFill>
          </a:endParaRPr>
        </a:p>
      </xdr:txBody>
    </xdr:sp>
    <xdr:clientData/>
  </xdr:twoCellAnchor>
  <xdr:twoCellAnchor>
    <xdr:from>
      <xdr:col>10</xdr:col>
      <xdr:colOff>328613</xdr:colOff>
      <xdr:row>23</xdr:row>
      <xdr:rowOff>92710</xdr:rowOff>
    </xdr:from>
    <xdr:to>
      <xdr:col>12</xdr:col>
      <xdr:colOff>421838</xdr:colOff>
      <xdr:row>25</xdr:row>
      <xdr:rowOff>57150</xdr:rowOff>
    </xdr:to>
    <xdr:sp macro="" textlink="">
      <xdr:nvSpPr>
        <xdr:cNvPr id="3" name="Line Callout 1 2">
          <a:extLst>
            <a:ext uri="{FF2B5EF4-FFF2-40B4-BE49-F238E27FC236}">
              <a16:creationId xmlns:a16="http://schemas.microsoft.com/office/drawing/2014/main" id="{B8953E7C-B6B0-AD10-549A-66538C3525E3}"/>
            </a:ext>
          </a:extLst>
        </xdr:cNvPr>
        <xdr:cNvSpPr/>
      </xdr:nvSpPr>
      <xdr:spPr>
        <a:xfrm>
          <a:off x="6824663" y="5445760"/>
          <a:ext cx="1293375" cy="726440"/>
        </a:xfrm>
        <a:prstGeom prst="borderCallout1">
          <a:avLst>
            <a:gd name="adj1" fmla="val -11147"/>
            <a:gd name="adj2" fmla="val 62470"/>
            <a:gd name="adj3" fmla="val -345382"/>
            <a:gd name="adj4" fmla="val 4817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VNS with ZC on one leg is also allowed</a:t>
          </a:r>
        </a:p>
      </xdr:txBody>
    </xdr:sp>
    <xdr:clientData/>
  </xdr:twoCellAnchor>
  <xdr:twoCellAnchor>
    <xdr:from>
      <xdr:col>3</xdr:col>
      <xdr:colOff>818200</xdr:colOff>
      <xdr:row>17</xdr:row>
      <xdr:rowOff>18416</xdr:rowOff>
    </xdr:from>
    <xdr:to>
      <xdr:col>7</xdr:col>
      <xdr:colOff>370995</xdr:colOff>
      <xdr:row>19</xdr:row>
      <xdr:rowOff>38100</xdr:rowOff>
    </xdr:to>
    <xdr:sp macro="" textlink="">
      <xdr:nvSpPr>
        <xdr:cNvPr id="7" name="Line Callout 1 6">
          <a:extLst>
            <a:ext uri="{FF2B5EF4-FFF2-40B4-BE49-F238E27FC236}">
              <a16:creationId xmlns:a16="http://schemas.microsoft.com/office/drawing/2014/main" id="{745422EB-7AE1-54AC-DBD3-D25D045FB403}"/>
            </a:ext>
          </a:extLst>
        </xdr:cNvPr>
        <xdr:cNvSpPr/>
      </xdr:nvSpPr>
      <xdr:spPr>
        <a:xfrm>
          <a:off x="3155000" y="4133216"/>
          <a:ext cx="2765895" cy="387984"/>
        </a:xfrm>
        <a:prstGeom prst="borderCallout1">
          <a:avLst>
            <a:gd name="adj1" fmla="val -11147"/>
            <a:gd name="adj2" fmla="val 62470"/>
            <a:gd name="adj3" fmla="val -553340"/>
            <a:gd name="adj4" fmla="val 7820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Rate schedule</a:t>
          </a:r>
        </a:p>
      </xdr:txBody>
    </xdr:sp>
    <xdr:clientData/>
  </xdr:twoCellAnchor>
  <xdr:twoCellAnchor>
    <xdr:from>
      <xdr:col>28</xdr:col>
      <xdr:colOff>275590</xdr:colOff>
      <xdr:row>18</xdr:row>
      <xdr:rowOff>76198</xdr:rowOff>
    </xdr:from>
    <xdr:to>
      <xdr:col>32</xdr:col>
      <xdr:colOff>212855</xdr:colOff>
      <xdr:row>20</xdr:row>
      <xdr:rowOff>43284</xdr:rowOff>
    </xdr:to>
    <xdr:sp macro="" textlink="">
      <xdr:nvSpPr>
        <xdr:cNvPr id="8" name="Line Callout 1 7">
          <a:extLst>
            <a:ext uri="{FF2B5EF4-FFF2-40B4-BE49-F238E27FC236}">
              <a16:creationId xmlns:a16="http://schemas.microsoft.com/office/drawing/2014/main" id="{DA8B90F7-AA6B-4B58-A35F-74854DF9B680}"/>
            </a:ext>
          </a:extLst>
        </xdr:cNvPr>
        <xdr:cNvSpPr/>
      </xdr:nvSpPr>
      <xdr:spPr>
        <a:xfrm>
          <a:off x="17611090" y="4358638"/>
          <a:ext cx="2840485" cy="332846"/>
        </a:xfrm>
        <a:prstGeom prst="borderCallout1">
          <a:avLst>
            <a:gd name="adj1" fmla="val -11147"/>
            <a:gd name="adj2" fmla="val 62470"/>
            <a:gd name="adj3" fmla="val -763548"/>
            <a:gd name="adj4" fmla="val 5787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Spread</a:t>
          </a:r>
          <a:r>
            <a:rPr lang="en-US" sz="1100" baseline="0">
              <a:solidFill>
                <a:schemeClr val="tx1"/>
              </a:solidFill>
            </a:rPr>
            <a:t> </a:t>
          </a:r>
          <a:r>
            <a:rPr lang="en-US" sz="1100">
              <a:solidFill>
                <a:schemeClr val="tx1"/>
              </a:solidFill>
            </a:rPr>
            <a:t> schedule</a:t>
          </a:r>
        </a:p>
      </xdr:txBody>
    </xdr:sp>
    <xdr:clientData/>
  </xdr:twoCellAnchor>
  <xdr:twoCellAnchor>
    <xdr:from>
      <xdr:col>8</xdr:col>
      <xdr:colOff>318453</xdr:colOff>
      <xdr:row>18</xdr:row>
      <xdr:rowOff>31751</xdr:rowOff>
    </xdr:from>
    <xdr:to>
      <xdr:col>10</xdr:col>
      <xdr:colOff>375623</xdr:colOff>
      <xdr:row>19</xdr:row>
      <xdr:rowOff>146130</xdr:rowOff>
    </xdr:to>
    <xdr:sp macro="" textlink="">
      <xdr:nvSpPr>
        <xdr:cNvPr id="9" name="Line Callout 1 8">
          <a:extLst>
            <a:ext uri="{FF2B5EF4-FFF2-40B4-BE49-F238E27FC236}">
              <a16:creationId xmlns:a16="http://schemas.microsoft.com/office/drawing/2014/main" id="{4EBD5090-A546-6067-6646-D8FD48C82643}"/>
            </a:ext>
          </a:extLst>
        </xdr:cNvPr>
        <xdr:cNvSpPr/>
      </xdr:nvSpPr>
      <xdr:spPr>
        <a:xfrm>
          <a:off x="5614353" y="4432301"/>
          <a:ext cx="1257320" cy="304879"/>
        </a:xfrm>
        <a:prstGeom prst="borderCallout1">
          <a:avLst>
            <a:gd name="adj1" fmla="val -11147"/>
            <a:gd name="adj2" fmla="val 62470"/>
            <a:gd name="adj3" fmla="val -522974"/>
            <a:gd name="adj4" fmla="val 765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Notional</a:t>
          </a:r>
          <a:r>
            <a:rPr lang="en-US" sz="1100" baseline="0">
              <a:solidFill>
                <a:schemeClr val="tx1"/>
              </a:solidFill>
            </a:rPr>
            <a:t> </a:t>
          </a:r>
          <a:r>
            <a:rPr lang="en-US" sz="1100">
              <a:solidFill>
                <a:schemeClr val="tx1"/>
              </a:solidFill>
            </a:rPr>
            <a:t>schedule</a:t>
          </a:r>
        </a:p>
      </xdr:txBody>
    </xdr:sp>
    <xdr:clientData/>
  </xdr:twoCellAnchor>
  <xdr:twoCellAnchor>
    <xdr:from>
      <xdr:col>32</xdr:col>
      <xdr:colOff>594043</xdr:colOff>
      <xdr:row>22</xdr:row>
      <xdr:rowOff>119379</xdr:rowOff>
    </xdr:from>
    <xdr:to>
      <xdr:col>36</xdr:col>
      <xdr:colOff>95199</xdr:colOff>
      <xdr:row>26</xdr:row>
      <xdr:rowOff>159386</xdr:rowOff>
    </xdr:to>
    <xdr:sp macro="" textlink="">
      <xdr:nvSpPr>
        <xdr:cNvPr id="11" name="Line Callout 1 10">
          <a:extLst>
            <a:ext uri="{FF2B5EF4-FFF2-40B4-BE49-F238E27FC236}">
              <a16:creationId xmlns:a16="http://schemas.microsoft.com/office/drawing/2014/main" id="{B91D224E-5FE6-2F5A-429D-53D55D96122F}"/>
            </a:ext>
          </a:extLst>
        </xdr:cNvPr>
        <xdr:cNvSpPr/>
      </xdr:nvSpPr>
      <xdr:spPr>
        <a:xfrm>
          <a:off x="18196243" y="5281929"/>
          <a:ext cx="1901456" cy="1183007"/>
        </a:xfrm>
        <a:prstGeom prst="borderCallout1">
          <a:avLst>
            <a:gd name="adj1" fmla="val -2713"/>
            <a:gd name="adj2" fmla="val 49970"/>
            <a:gd name="adj3" fmla="val -260236"/>
            <a:gd name="adj4" fmla="val 4840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lnSpc>
              <a:spcPts val="1100"/>
            </a:lnSpc>
          </a:pPr>
          <a:r>
            <a:rPr lang="en-US" sz="1100">
              <a:solidFill>
                <a:schemeClr val="tx1"/>
              </a:solidFill>
              <a:latin typeface="+mn-lt"/>
              <a:ea typeface="+mn-ea"/>
              <a:cs typeface="+mn-cs"/>
            </a:rPr>
            <a:t>If there is no schedule on the given leg, the  fields can be left empty as shown in this example.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492125</xdr:colOff>
      <xdr:row>9</xdr:row>
      <xdr:rowOff>5080</xdr:rowOff>
    </xdr:from>
    <xdr:to>
      <xdr:col>10</xdr:col>
      <xdr:colOff>543595</xdr:colOff>
      <xdr:row>12</xdr:row>
      <xdr:rowOff>102628</xdr:rowOff>
    </xdr:to>
    <xdr:sp macro="" textlink="">
      <xdr:nvSpPr>
        <xdr:cNvPr id="4" name="Line Callout 1 3">
          <a:extLst>
            <a:ext uri="{FF2B5EF4-FFF2-40B4-BE49-F238E27FC236}">
              <a16:creationId xmlns:a16="http://schemas.microsoft.com/office/drawing/2014/main" id="{00707650-7DE0-D47E-60CD-1AB5D16651C0}"/>
            </a:ext>
          </a:extLst>
        </xdr:cNvPr>
        <xdr:cNvSpPr/>
      </xdr:nvSpPr>
      <xdr:spPr>
        <a:xfrm>
          <a:off x="3738245" y="2641600"/>
          <a:ext cx="4166270" cy="646188"/>
        </a:xfrm>
        <a:prstGeom prst="borderCallout1">
          <a:avLst>
            <a:gd name="adj1" fmla="val -11147"/>
            <a:gd name="adj2" fmla="val 62470"/>
            <a:gd name="adj3" fmla="val -144949"/>
            <a:gd name="adj4" fmla="val 6251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For OIS product type, the allowed</a:t>
          </a:r>
          <a:r>
            <a:rPr lang="en-US" sz="1100" baseline="0">
              <a:solidFill>
                <a:schemeClr val="tx1"/>
              </a:solidFill>
            </a:rPr>
            <a:t> indices are FEDFUNDS, SONIA, SARON, TONAR</a:t>
          </a:r>
          <a:r>
            <a:rPr lang="en-US" sz="1100" b="0" baseline="0">
              <a:solidFill>
                <a:sysClr val="windowText" lastClr="000000"/>
              </a:solidFill>
            </a:rPr>
            <a:t>, ESTR, SOFR, DESTR</a:t>
          </a:r>
          <a:endParaRPr lang="en-US" sz="1100">
            <a:solidFill>
              <a:sysClr val="windowText" lastClr="000000"/>
            </a:solidFill>
          </a:endParaRPr>
        </a:p>
      </xdr:txBody>
    </xdr:sp>
    <xdr:clientData/>
  </xdr:twoCellAnchor>
  <xdr:twoCellAnchor>
    <xdr:from>
      <xdr:col>2</xdr:col>
      <xdr:colOff>69215</xdr:colOff>
      <xdr:row>10</xdr:row>
      <xdr:rowOff>64134</xdr:rowOff>
    </xdr:from>
    <xdr:to>
      <xdr:col>3</xdr:col>
      <xdr:colOff>685800</xdr:colOff>
      <xdr:row>14</xdr:row>
      <xdr:rowOff>12700</xdr:rowOff>
    </xdr:to>
    <xdr:sp macro="" textlink="">
      <xdr:nvSpPr>
        <xdr:cNvPr id="3" name="Line Callout 1 2">
          <a:extLst>
            <a:ext uri="{FF2B5EF4-FFF2-40B4-BE49-F238E27FC236}">
              <a16:creationId xmlns:a16="http://schemas.microsoft.com/office/drawing/2014/main" id="{F6D7E6F8-95D3-6D7B-47F8-65EE8F063CF8}"/>
            </a:ext>
          </a:extLst>
        </xdr:cNvPr>
        <xdr:cNvSpPr/>
      </xdr:nvSpPr>
      <xdr:spPr>
        <a:xfrm>
          <a:off x="1917065" y="2889884"/>
          <a:ext cx="1245235" cy="958216"/>
        </a:xfrm>
        <a:prstGeom prst="borderCallout1">
          <a:avLst>
            <a:gd name="adj1" fmla="val -11147"/>
            <a:gd name="adj2" fmla="val 62470"/>
            <a:gd name="adj3" fmla="val -124949"/>
            <a:gd name="adj4" fmla="val 2002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OIS is allowed for the following curencies:</a:t>
          </a:r>
          <a:r>
            <a:rPr lang="en-US" sz="1100" baseline="0">
              <a:solidFill>
                <a:schemeClr val="tx1"/>
              </a:solidFill>
            </a:rPr>
            <a:t> USD, EUR, GBP, JPY, CHF, DKK</a:t>
          </a:r>
          <a:endParaRPr lang="en-US" sz="1100">
            <a:solidFill>
              <a:schemeClr val="tx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666750</xdr:colOff>
      <xdr:row>10</xdr:row>
      <xdr:rowOff>106044</xdr:rowOff>
    </xdr:from>
    <xdr:to>
      <xdr:col>8</xdr:col>
      <xdr:colOff>521041</xdr:colOff>
      <xdr:row>14</xdr:row>
      <xdr:rowOff>50844</xdr:rowOff>
    </xdr:to>
    <xdr:sp macro="" textlink="">
      <xdr:nvSpPr>
        <xdr:cNvPr id="2" name="Line Callout 1 1">
          <a:extLst>
            <a:ext uri="{FF2B5EF4-FFF2-40B4-BE49-F238E27FC236}">
              <a16:creationId xmlns:a16="http://schemas.microsoft.com/office/drawing/2014/main" id="{CE486D7E-C2A5-71AC-F0C3-4BF0DCB0E325}"/>
            </a:ext>
          </a:extLst>
        </xdr:cNvPr>
        <xdr:cNvSpPr/>
      </xdr:nvSpPr>
      <xdr:spPr>
        <a:xfrm>
          <a:off x="3128010" y="2925444"/>
          <a:ext cx="3908131" cy="1042080"/>
        </a:xfrm>
        <a:prstGeom prst="borderCallout1">
          <a:avLst>
            <a:gd name="adj1" fmla="val -11147"/>
            <a:gd name="adj2" fmla="val 62470"/>
            <a:gd name="adj3" fmla="val -115512"/>
            <a:gd name="adj4" fmla="val 248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a:t>
          </a:r>
          <a:r>
            <a:rPr lang="en-US" sz="1100" baseline="0">
              <a:solidFill>
                <a:schemeClr val="tx1"/>
              </a:solidFill>
            </a:rPr>
            <a:t> pay leg  and the receive leg  type have the type FLOAT.</a:t>
          </a:r>
          <a:endParaRPr lang="en-US" sz="1100">
            <a:solidFill>
              <a:schemeClr val="tx1"/>
            </a:solidFill>
          </a:endParaRPr>
        </a:p>
      </xdr:txBody>
    </xdr:sp>
    <xdr:clientData/>
  </xdr:twoCellAnchor>
  <xdr:twoCellAnchor>
    <xdr:from>
      <xdr:col>24</xdr:col>
      <xdr:colOff>314325</xdr:colOff>
      <xdr:row>10</xdr:row>
      <xdr:rowOff>111760</xdr:rowOff>
    </xdr:from>
    <xdr:to>
      <xdr:col>29</xdr:col>
      <xdr:colOff>955672</xdr:colOff>
      <xdr:row>14</xdr:row>
      <xdr:rowOff>31866</xdr:rowOff>
    </xdr:to>
    <xdr:sp macro="" textlink="">
      <xdr:nvSpPr>
        <xdr:cNvPr id="5" name="Line Callout 1 4">
          <a:extLst>
            <a:ext uri="{FF2B5EF4-FFF2-40B4-BE49-F238E27FC236}">
              <a16:creationId xmlns:a16="http://schemas.microsoft.com/office/drawing/2014/main" id="{4446F2A7-157A-1DB7-3E88-CFF384083FDB}"/>
            </a:ext>
          </a:extLst>
        </xdr:cNvPr>
        <xdr:cNvSpPr/>
      </xdr:nvSpPr>
      <xdr:spPr>
        <a:xfrm>
          <a:off x="13849350" y="2988310"/>
          <a:ext cx="3041647" cy="1063106"/>
        </a:xfrm>
        <a:prstGeom prst="borderCallout1">
          <a:avLst>
            <a:gd name="adj1" fmla="val -11147"/>
            <a:gd name="adj2" fmla="val 62470"/>
            <a:gd name="adj3" fmla="val -121317"/>
            <a:gd name="adj4" fmla="val 6307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a:t>
          </a:r>
          <a:r>
            <a:rPr lang="en-US" sz="1100" baseline="0">
              <a:solidFill>
                <a:schemeClr val="tx1"/>
              </a:solidFill>
            </a:rPr>
            <a:t> pay leg  and the receive leg  type have the type FLOAT.</a:t>
          </a:r>
          <a:endParaRPr lang="en-US" sz="1100">
            <a:solidFill>
              <a:schemeClr val="tx1"/>
            </a:solidFill>
          </a:endParaRPr>
        </a:p>
      </xdr:txBody>
    </xdr:sp>
    <xdr:clientData/>
  </xdr:twoCellAnchor>
  <xdr:twoCellAnchor>
    <xdr:from>
      <xdr:col>1</xdr:col>
      <xdr:colOff>367665</xdr:colOff>
      <xdr:row>11</xdr:row>
      <xdr:rowOff>314959</xdr:rowOff>
    </xdr:from>
    <xdr:to>
      <xdr:col>3</xdr:col>
      <xdr:colOff>0</xdr:colOff>
      <xdr:row>18</xdr:row>
      <xdr:rowOff>104775</xdr:rowOff>
    </xdr:to>
    <xdr:sp macro="" textlink="">
      <xdr:nvSpPr>
        <xdr:cNvPr id="4" name="Line Callout 1 3">
          <a:extLst>
            <a:ext uri="{FF2B5EF4-FFF2-40B4-BE49-F238E27FC236}">
              <a16:creationId xmlns:a16="http://schemas.microsoft.com/office/drawing/2014/main" id="{4F337B2D-EFC7-EFCF-A800-B548A2A0B31C}"/>
            </a:ext>
          </a:extLst>
        </xdr:cNvPr>
        <xdr:cNvSpPr/>
      </xdr:nvSpPr>
      <xdr:spPr>
        <a:xfrm>
          <a:off x="1320165" y="3382009"/>
          <a:ext cx="1505085" cy="1504316"/>
        </a:xfrm>
        <a:prstGeom prst="borderCallout1">
          <a:avLst>
            <a:gd name="adj1" fmla="val -11147"/>
            <a:gd name="adj2" fmla="val 62470"/>
            <a:gd name="adj3" fmla="val -184654"/>
            <a:gd name="adj4" fmla="val 2253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Basis Swaps are allowed for the following currencies:</a:t>
          </a:r>
        </a:p>
        <a:p>
          <a:pPr algn="l"/>
          <a:r>
            <a:rPr lang="en-US" sz="1100">
              <a:solidFill>
                <a:sysClr val="windowText" lastClr="000000"/>
              </a:solidFill>
            </a:rPr>
            <a:t>CZK,</a:t>
          </a:r>
          <a:r>
            <a:rPr lang="en-US" sz="1100" baseline="0">
              <a:solidFill>
                <a:sysClr val="windowText" lastClr="000000"/>
              </a:solidFill>
            </a:rPr>
            <a:t> DKK, EUR, HUF, NOK, PLN, USD</a:t>
          </a:r>
          <a:endParaRPr lang="en-US" sz="1100">
            <a:solidFill>
              <a:sysClr val="windowText" lastClr="000000"/>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533400</xdr:colOff>
      <xdr:row>11</xdr:row>
      <xdr:rowOff>109855</xdr:rowOff>
    </xdr:from>
    <xdr:to>
      <xdr:col>3</xdr:col>
      <xdr:colOff>619124</xdr:colOff>
      <xdr:row>15</xdr:row>
      <xdr:rowOff>123825</xdr:rowOff>
    </xdr:to>
    <xdr:sp macro="" textlink="">
      <xdr:nvSpPr>
        <xdr:cNvPr id="2" name="Line Callout 1 1">
          <a:extLst>
            <a:ext uri="{FF2B5EF4-FFF2-40B4-BE49-F238E27FC236}">
              <a16:creationId xmlns:a16="http://schemas.microsoft.com/office/drawing/2014/main" id="{DF32F076-6607-AF1B-CC02-095E4CBCF0E9}"/>
            </a:ext>
          </a:extLst>
        </xdr:cNvPr>
        <xdr:cNvSpPr/>
      </xdr:nvSpPr>
      <xdr:spPr>
        <a:xfrm>
          <a:off x="1571625" y="3557905"/>
          <a:ext cx="1295399" cy="775970"/>
        </a:xfrm>
        <a:prstGeom prst="borderCallout1">
          <a:avLst>
            <a:gd name="adj1" fmla="val -11147"/>
            <a:gd name="adj2" fmla="val 62470"/>
            <a:gd name="adj3" fmla="val -204150"/>
            <a:gd name="adj4" fmla="val -1457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Trade</a:t>
          </a:r>
          <a:r>
            <a:rPr lang="en-US" sz="1100" baseline="0">
              <a:solidFill>
                <a:schemeClr val="tx1"/>
              </a:solidFill>
            </a:rPr>
            <a:t> type is  ZCIS</a:t>
          </a:r>
          <a:endParaRPr lang="en-US" sz="1100">
            <a:solidFill>
              <a:schemeClr val="tx1"/>
            </a:solidFill>
          </a:endParaRPr>
        </a:p>
      </xdr:txBody>
    </xdr:sp>
    <xdr:clientData/>
  </xdr:twoCellAnchor>
  <xdr:twoCellAnchor>
    <xdr:from>
      <xdr:col>8</xdr:col>
      <xdr:colOff>247650</xdr:colOff>
      <xdr:row>12</xdr:row>
      <xdr:rowOff>9525</xdr:rowOff>
    </xdr:from>
    <xdr:to>
      <xdr:col>10</xdr:col>
      <xdr:colOff>92251</xdr:colOff>
      <xdr:row>14</xdr:row>
      <xdr:rowOff>60960</xdr:rowOff>
    </xdr:to>
    <xdr:sp macro="" textlink="">
      <xdr:nvSpPr>
        <xdr:cNvPr id="3" name="Line Callout 1 2">
          <a:extLst>
            <a:ext uri="{FF2B5EF4-FFF2-40B4-BE49-F238E27FC236}">
              <a16:creationId xmlns:a16="http://schemas.microsoft.com/office/drawing/2014/main" id="{24B921F4-5500-7464-FBD3-327096017860}"/>
            </a:ext>
          </a:extLst>
        </xdr:cNvPr>
        <xdr:cNvSpPr/>
      </xdr:nvSpPr>
      <xdr:spPr>
        <a:xfrm>
          <a:off x="6328410" y="3377565"/>
          <a:ext cx="1536241" cy="417195"/>
        </a:xfrm>
        <a:prstGeom prst="borderCallout1">
          <a:avLst>
            <a:gd name="adj1" fmla="val -11147"/>
            <a:gd name="adj2" fmla="val 62470"/>
            <a:gd name="adj3" fmla="val -490914"/>
            <a:gd name="adj4" fmla="val 16918"/>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Inflation index</a:t>
          </a:r>
        </a:p>
      </xdr:txBody>
    </xdr:sp>
    <xdr:clientData/>
  </xdr:twoCellAnchor>
  <xdr:twoCellAnchor>
    <xdr:from>
      <xdr:col>22</xdr:col>
      <xdr:colOff>0</xdr:colOff>
      <xdr:row>12</xdr:row>
      <xdr:rowOff>159384</xdr:rowOff>
    </xdr:from>
    <xdr:to>
      <xdr:col>24</xdr:col>
      <xdr:colOff>72552</xdr:colOff>
      <xdr:row>15</xdr:row>
      <xdr:rowOff>140544</xdr:rowOff>
    </xdr:to>
    <xdr:sp macro="" textlink="">
      <xdr:nvSpPr>
        <xdr:cNvPr id="4" name="Line Callout 1 3">
          <a:extLst>
            <a:ext uri="{FF2B5EF4-FFF2-40B4-BE49-F238E27FC236}">
              <a16:creationId xmlns:a16="http://schemas.microsoft.com/office/drawing/2014/main" id="{38E312D9-764C-9B81-E4F7-EC8924F61C22}"/>
            </a:ext>
          </a:extLst>
        </xdr:cNvPr>
        <xdr:cNvSpPr/>
      </xdr:nvSpPr>
      <xdr:spPr>
        <a:xfrm>
          <a:off x="12639675" y="3809999"/>
          <a:ext cx="1676400" cy="542925"/>
        </a:xfrm>
        <a:prstGeom prst="borderCallout1">
          <a:avLst>
            <a:gd name="adj1" fmla="val -11147"/>
            <a:gd name="adj2" fmla="val 62470"/>
            <a:gd name="adj3" fmla="val -353132"/>
            <a:gd name="adj4" fmla="val 3319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Daycount method</a:t>
          </a:r>
          <a:r>
            <a:rPr lang="en-US" sz="1100" baseline="0">
              <a:solidFill>
                <a:schemeClr val="tx1"/>
              </a:solidFill>
            </a:rPr>
            <a:t> is always 1/1 for ZCIS </a:t>
          </a:r>
          <a:endParaRPr lang="en-US" sz="1100">
            <a:solidFill>
              <a:schemeClr val="tx1"/>
            </a:solidFill>
          </a:endParaRPr>
        </a:p>
      </xdr:txBody>
    </xdr:sp>
    <xdr:clientData/>
  </xdr:twoCellAnchor>
  <xdr:twoCellAnchor>
    <xdr:from>
      <xdr:col>29</xdr:col>
      <xdr:colOff>326072</xdr:colOff>
      <xdr:row>15</xdr:row>
      <xdr:rowOff>140334</xdr:rowOff>
    </xdr:from>
    <xdr:to>
      <xdr:col>34</xdr:col>
      <xdr:colOff>568257</xdr:colOff>
      <xdr:row>18</xdr:row>
      <xdr:rowOff>114300</xdr:rowOff>
    </xdr:to>
    <xdr:sp macro="" textlink="">
      <xdr:nvSpPr>
        <xdr:cNvPr id="5" name="Line Callout 1 4">
          <a:extLst>
            <a:ext uri="{FF2B5EF4-FFF2-40B4-BE49-F238E27FC236}">
              <a16:creationId xmlns:a16="http://schemas.microsoft.com/office/drawing/2014/main" id="{179D4040-2DCA-4790-7780-8E3BDCB45AD0}"/>
            </a:ext>
          </a:extLst>
        </xdr:cNvPr>
        <xdr:cNvSpPr/>
      </xdr:nvSpPr>
      <xdr:spPr>
        <a:xfrm>
          <a:off x="23433722" y="4255134"/>
          <a:ext cx="3874385" cy="526416"/>
        </a:xfrm>
        <a:prstGeom prst="borderCallout1">
          <a:avLst>
            <a:gd name="adj1" fmla="val -11147"/>
            <a:gd name="adj2" fmla="val 62470"/>
            <a:gd name="adj3" fmla="val -422697"/>
            <a:gd name="adj4" fmla="val 3227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 number</a:t>
          </a:r>
          <a:r>
            <a:rPr lang="en-US" sz="1100" baseline="0">
              <a:solidFill>
                <a:schemeClr val="tx1"/>
              </a:solidFill>
            </a:rPr>
            <a:t> will be interpreted as 3 %</a:t>
          </a:r>
          <a:endParaRPr lang="en-US" sz="1100">
            <a:solidFill>
              <a:schemeClr val="tx1"/>
            </a:solidFill>
          </a:endParaRPr>
        </a:p>
      </xdr:txBody>
    </xdr:sp>
    <xdr:clientData/>
  </xdr:twoCellAnchor>
  <xdr:twoCellAnchor>
    <xdr:from>
      <xdr:col>45</xdr:col>
      <xdr:colOff>57150</xdr:colOff>
      <xdr:row>11</xdr:row>
      <xdr:rowOff>146050</xdr:rowOff>
    </xdr:from>
    <xdr:to>
      <xdr:col>47</xdr:col>
      <xdr:colOff>57150</xdr:colOff>
      <xdr:row>15</xdr:row>
      <xdr:rowOff>120650</xdr:rowOff>
    </xdr:to>
    <xdr:sp macro="" textlink="">
      <xdr:nvSpPr>
        <xdr:cNvPr id="6" name="Line Callout 1 5">
          <a:extLst>
            <a:ext uri="{FF2B5EF4-FFF2-40B4-BE49-F238E27FC236}">
              <a16:creationId xmlns:a16="http://schemas.microsoft.com/office/drawing/2014/main" id="{5CD1DCF9-D071-C927-6F7B-5ADA838926F6}"/>
            </a:ext>
          </a:extLst>
        </xdr:cNvPr>
        <xdr:cNvSpPr/>
      </xdr:nvSpPr>
      <xdr:spPr>
        <a:xfrm>
          <a:off x="35515550" y="3524250"/>
          <a:ext cx="1593850" cy="711200"/>
        </a:xfrm>
        <a:prstGeom prst="borderCallout1">
          <a:avLst>
            <a:gd name="adj1" fmla="val -11147"/>
            <a:gd name="adj2" fmla="val 62470"/>
            <a:gd name="adj3" fmla="val -211669"/>
            <a:gd name="adj4" fmla="val 7938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Daycount method</a:t>
          </a:r>
          <a:r>
            <a:rPr lang="en-US" sz="1100" baseline="0">
              <a:solidFill>
                <a:schemeClr val="tx1"/>
              </a:solidFill>
            </a:rPr>
            <a:t> is always 1/1 for ZCIS</a:t>
          </a:r>
          <a:endParaRPr lang="en-US" sz="1100">
            <a:solidFill>
              <a:schemeClr val="tx1"/>
            </a:solidFill>
          </a:endParaRPr>
        </a:p>
      </xdr:txBody>
    </xdr:sp>
    <xdr:clientData/>
  </xdr:twoCellAnchor>
  <xdr:twoCellAnchor>
    <xdr:from>
      <xdr:col>13</xdr:col>
      <xdr:colOff>542291</xdr:colOff>
      <xdr:row>10</xdr:row>
      <xdr:rowOff>378460</xdr:rowOff>
    </xdr:from>
    <xdr:to>
      <xdr:col>16</xdr:col>
      <xdr:colOff>457201</xdr:colOff>
      <xdr:row>13</xdr:row>
      <xdr:rowOff>6350</xdr:rowOff>
    </xdr:to>
    <xdr:sp macro="" textlink="">
      <xdr:nvSpPr>
        <xdr:cNvPr id="7" name="Line Callout 1 5">
          <a:extLst>
            <a:ext uri="{FF2B5EF4-FFF2-40B4-BE49-F238E27FC236}">
              <a16:creationId xmlns:a16="http://schemas.microsoft.com/office/drawing/2014/main" id="{E7C4A6BB-CE65-4269-AA04-ABD7E844B056}"/>
            </a:ext>
          </a:extLst>
        </xdr:cNvPr>
        <xdr:cNvSpPr/>
      </xdr:nvSpPr>
      <xdr:spPr>
        <a:xfrm>
          <a:off x="10664191" y="3204210"/>
          <a:ext cx="2429510" cy="548640"/>
        </a:xfrm>
        <a:prstGeom prst="borderCallout1">
          <a:avLst>
            <a:gd name="adj1" fmla="val -8162"/>
            <a:gd name="adj2" fmla="val 49637"/>
            <a:gd name="adj3" fmla="val -230153"/>
            <a:gd name="adj4" fmla="val 62608"/>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Optional for ZCIS. </a:t>
          </a:r>
        </a:p>
        <a:p>
          <a:pPr algn="l"/>
          <a:r>
            <a:rPr lang="en-US" sz="1100" baseline="0">
              <a:solidFill>
                <a:schemeClr val="tx1"/>
              </a:solidFill>
            </a:rPr>
            <a:t>It lists the Initial Index Level as entered.</a:t>
          </a:r>
        </a:p>
      </xdr:txBody>
    </xdr:sp>
    <xdr:clientData/>
  </xdr:twoCellAnchor>
  <xdr:twoCellAnchor>
    <xdr:from>
      <xdr:col>10</xdr:col>
      <xdr:colOff>428625</xdr:colOff>
      <xdr:row>12</xdr:row>
      <xdr:rowOff>152400</xdr:rowOff>
    </xdr:from>
    <xdr:to>
      <xdr:col>13</xdr:col>
      <xdr:colOff>270909</xdr:colOff>
      <xdr:row>16</xdr:row>
      <xdr:rowOff>81774</xdr:rowOff>
    </xdr:to>
    <xdr:sp macro="" textlink="">
      <xdr:nvSpPr>
        <xdr:cNvPr id="8" name="Line Callout 1 2">
          <a:extLst>
            <a:ext uri="{FF2B5EF4-FFF2-40B4-BE49-F238E27FC236}">
              <a16:creationId xmlns:a16="http://schemas.microsoft.com/office/drawing/2014/main" id="{B5D5DBF8-5476-4EDD-A78B-91F76152B3C3}"/>
            </a:ext>
          </a:extLst>
        </xdr:cNvPr>
        <xdr:cNvSpPr/>
      </xdr:nvSpPr>
      <xdr:spPr>
        <a:xfrm>
          <a:off x="7991475" y="3790950"/>
          <a:ext cx="1937784" cy="691374"/>
        </a:xfrm>
        <a:prstGeom prst="borderCallout1">
          <a:avLst>
            <a:gd name="adj1" fmla="val -11147"/>
            <a:gd name="adj2" fmla="val 62470"/>
            <a:gd name="adj3" fmla="val -244601"/>
            <a:gd name="adj4" fmla="val 3836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tx1"/>
              </a:solidFill>
              <a:latin typeface="+mn-lt"/>
              <a:ea typeface="+mn-ea"/>
              <a:cs typeface="+mn-cs"/>
            </a:rPr>
            <a:t>The payment period is </a:t>
          </a:r>
          <a:r>
            <a:rPr lang="en-GB" sz="1100">
              <a:solidFill>
                <a:schemeClr val="tx1"/>
              </a:solidFill>
              <a:latin typeface="+mn-lt"/>
              <a:ea typeface="+mn-ea"/>
              <a:cs typeface="+mn-cs"/>
            </a:rPr>
            <a:t>ZERO_C (1T</a:t>
          </a:r>
          <a:r>
            <a:rPr lang="en-GB" sz="1100" baseline="0">
              <a:solidFill>
                <a:schemeClr val="tx1"/>
              </a:solidFill>
              <a:latin typeface="+mn-lt"/>
              <a:ea typeface="+mn-ea"/>
              <a:cs typeface="+mn-cs"/>
            </a:rPr>
            <a:t> in csv file</a:t>
          </a:r>
          <a:r>
            <a:rPr lang="en-GB" sz="1100">
              <a:solidFill>
                <a:schemeClr val="tx1"/>
              </a:solidFill>
              <a:latin typeface="+mn-lt"/>
              <a:ea typeface="+mn-ea"/>
              <a:cs typeface="+mn-cs"/>
            </a:rPr>
            <a:t> )</a:t>
          </a:r>
          <a:endParaRPr lang="en-US" sz="1100">
            <a:solidFill>
              <a:schemeClr val="tx1"/>
            </a:solidFill>
            <a:latin typeface="+mn-lt"/>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293370</xdr:colOff>
      <xdr:row>9</xdr:row>
      <xdr:rowOff>237490</xdr:rowOff>
    </xdr:from>
    <xdr:to>
      <xdr:col>3</xdr:col>
      <xdr:colOff>379094</xdr:colOff>
      <xdr:row>10</xdr:row>
      <xdr:rowOff>163830</xdr:rowOff>
    </xdr:to>
    <xdr:sp macro="" textlink="">
      <xdr:nvSpPr>
        <xdr:cNvPr id="2" name="Line Callout 1 1">
          <a:extLst>
            <a:ext uri="{FF2B5EF4-FFF2-40B4-BE49-F238E27FC236}">
              <a16:creationId xmlns:a16="http://schemas.microsoft.com/office/drawing/2014/main" id="{409E9DD5-CCBB-4840-9365-7EFCEDCB7DA0}"/>
            </a:ext>
          </a:extLst>
        </xdr:cNvPr>
        <xdr:cNvSpPr/>
      </xdr:nvSpPr>
      <xdr:spPr>
        <a:xfrm>
          <a:off x="1360170" y="2691130"/>
          <a:ext cx="1327784" cy="292100"/>
        </a:xfrm>
        <a:prstGeom prst="borderCallout1">
          <a:avLst>
            <a:gd name="adj1" fmla="val -27037"/>
            <a:gd name="adj2" fmla="val 33058"/>
            <a:gd name="adj3" fmla="val -334446"/>
            <a:gd name="adj4" fmla="val 1557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Trade</a:t>
          </a:r>
          <a:r>
            <a:rPr lang="en-US" sz="1100" baseline="0">
              <a:solidFill>
                <a:schemeClr val="tx1"/>
              </a:solidFill>
            </a:rPr>
            <a:t> type is  SCIS</a:t>
          </a:r>
          <a:endParaRPr lang="en-US" sz="1100">
            <a:solidFill>
              <a:schemeClr val="tx1"/>
            </a:solidFill>
          </a:endParaRPr>
        </a:p>
      </xdr:txBody>
    </xdr:sp>
    <xdr:clientData/>
  </xdr:twoCellAnchor>
  <xdr:twoCellAnchor>
    <xdr:from>
      <xdr:col>9</xdr:col>
      <xdr:colOff>20954</xdr:colOff>
      <xdr:row>14</xdr:row>
      <xdr:rowOff>20955</xdr:rowOff>
    </xdr:from>
    <xdr:to>
      <xdr:col>10</xdr:col>
      <xdr:colOff>502920</xdr:colOff>
      <xdr:row>17</xdr:row>
      <xdr:rowOff>30480</xdr:rowOff>
    </xdr:to>
    <xdr:sp macro="" textlink="">
      <xdr:nvSpPr>
        <xdr:cNvPr id="3" name="Line Callout 1 2">
          <a:extLst>
            <a:ext uri="{FF2B5EF4-FFF2-40B4-BE49-F238E27FC236}">
              <a16:creationId xmlns:a16="http://schemas.microsoft.com/office/drawing/2014/main" id="{1538C5A5-3730-4640-B87C-BE48775A6D82}"/>
            </a:ext>
          </a:extLst>
        </xdr:cNvPr>
        <xdr:cNvSpPr/>
      </xdr:nvSpPr>
      <xdr:spPr>
        <a:xfrm>
          <a:off x="7320914" y="3571875"/>
          <a:ext cx="1556386" cy="603885"/>
        </a:xfrm>
        <a:prstGeom prst="borderCallout1">
          <a:avLst>
            <a:gd name="adj1" fmla="val -18381"/>
            <a:gd name="adj2" fmla="val 37393"/>
            <a:gd name="adj3" fmla="val -314788"/>
            <a:gd name="adj4" fmla="val -689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Inflation index</a:t>
          </a:r>
          <a:endParaRPr lang="en-US" sz="1100">
            <a:solidFill>
              <a:sysClr val="windowText" lastClr="000000"/>
            </a:solidFill>
          </a:endParaRPr>
        </a:p>
      </xdr:txBody>
    </xdr:sp>
    <xdr:clientData/>
  </xdr:twoCellAnchor>
  <xdr:twoCellAnchor>
    <xdr:from>
      <xdr:col>4</xdr:col>
      <xdr:colOff>131445</xdr:colOff>
      <xdr:row>11</xdr:row>
      <xdr:rowOff>85089</xdr:rowOff>
    </xdr:from>
    <xdr:to>
      <xdr:col>8</xdr:col>
      <xdr:colOff>340995</xdr:colOff>
      <xdr:row>14</xdr:row>
      <xdr:rowOff>38101</xdr:rowOff>
    </xdr:to>
    <xdr:sp macro="" textlink="">
      <xdr:nvSpPr>
        <xdr:cNvPr id="4" name="Line Callout 1 3">
          <a:extLst>
            <a:ext uri="{FF2B5EF4-FFF2-40B4-BE49-F238E27FC236}">
              <a16:creationId xmlns:a16="http://schemas.microsoft.com/office/drawing/2014/main" id="{47971DE1-06B4-426E-9DAB-BE373E5502B0}"/>
            </a:ext>
          </a:extLst>
        </xdr:cNvPr>
        <xdr:cNvSpPr/>
      </xdr:nvSpPr>
      <xdr:spPr>
        <a:xfrm>
          <a:off x="3255645" y="3270249"/>
          <a:ext cx="3768090" cy="501652"/>
        </a:xfrm>
        <a:prstGeom prst="borderCallout1">
          <a:avLst>
            <a:gd name="adj1" fmla="val -17093"/>
            <a:gd name="adj2" fmla="val 39950"/>
            <a:gd name="adj3" fmla="val -386825"/>
            <a:gd name="adj4" fmla="val 7008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On float/inflation leg the rate field is mandatory for SCIS.</a:t>
          </a:r>
        </a:p>
        <a:p>
          <a:pPr algn="l"/>
          <a:r>
            <a:rPr lang="en-US" sz="1100" baseline="0">
              <a:solidFill>
                <a:schemeClr val="tx1"/>
              </a:solidFill>
            </a:rPr>
            <a:t>Bond coupon rate needs to be entered.</a:t>
          </a:r>
        </a:p>
        <a:p>
          <a:pPr algn="l"/>
          <a:endParaRPr lang="en-US" sz="1100" baseline="0">
            <a:solidFill>
              <a:schemeClr val="tx1"/>
            </a:solidFill>
          </a:endParaRPr>
        </a:p>
        <a:p>
          <a:pPr algn="l"/>
          <a:r>
            <a:rPr lang="en-US" sz="1100" baseline="0">
              <a:solidFill>
                <a:schemeClr val="tx1"/>
              </a:solidFill>
            </a:rPr>
            <a:t> </a:t>
          </a:r>
          <a:endParaRPr lang="en-US" sz="1100">
            <a:solidFill>
              <a:schemeClr val="tx1"/>
            </a:solidFill>
          </a:endParaRPr>
        </a:p>
      </xdr:txBody>
    </xdr:sp>
    <xdr:clientData/>
  </xdr:twoCellAnchor>
  <xdr:twoCellAnchor>
    <xdr:from>
      <xdr:col>29</xdr:col>
      <xdr:colOff>432116</xdr:colOff>
      <xdr:row>14</xdr:row>
      <xdr:rowOff>31749</xdr:rowOff>
    </xdr:from>
    <xdr:to>
      <xdr:col>33</xdr:col>
      <xdr:colOff>304799</xdr:colOff>
      <xdr:row>16</xdr:row>
      <xdr:rowOff>205740</xdr:rowOff>
    </xdr:to>
    <xdr:sp macro="" textlink="">
      <xdr:nvSpPr>
        <xdr:cNvPr id="5" name="Line Callout 1 4">
          <a:extLst>
            <a:ext uri="{FF2B5EF4-FFF2-40B4-BE49-F238E27FC236}">
              <a16:creationId xmlns:a16="http://schemas.microsoft.com/office/drawing/2014/main" id="{1A2E31D7-35E0-4697-B70A-9635DB9BE622}"/>
            </a:ext>
          </a:extLst>
        </xdr:cNvPr>
        <xdr:cNvSpPr/>
      </xdr:nvSpPr>
      <xdr:spPr>
        <a:xfrm>
          <a:off x="20556536" y="3582669"/>
          <a:ext cx="3187383" cy="539751"/>
        </a:xfrm>
        <a:prstGeom prst="borderCallout1">
          <a:avLst>
            <a:gd name="adj1" fmla="val -34275"/>
            <a:gd name="adj2" fmla="val 30805"/>
            <a:gd name="adj3" fmla="val -399029"/>
            <a:gd name="adj4" fmla="val 3909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On the fix leg, t</a:t>
          </a:r>
          <a:r>
            <a:rPr lang="en-US" sz="1100">
              <a:solidFill>
                <a:schemeClr val="tx1"/>
              </a:solidFill>
            </a:rPr>
            <a:t>he number</a:t>
          </a:r>
          <a:r>
            <a:rPr lang="en-US" sz="1100" baseline="0">
              <a:solidFill>
                <a:schemeClr val="tx1"/>
              </a:solidFill>
            </a:rPr>
            <a:t> will be interpreted as 1 %.</a:t>
          </a:r>
          <a:endParaRPr lang="en-US" sz="1100">
            <a:solidFill>
              <a:schemeClr val="tx1"/>
            </a:solidFill>
          </a:endParaRPr>
        </a:p>
      </xdr:txBody>
    </xdr:sp>
    <xdr:clientData/>
  </xdr:twoCellAnchor>
  <xdr:twoCellAnchor>
    <xdr:from>
      <xdr:col>10</xdr:col>
      <xdr:colOff>421641</xdr:colOff>
      <xdr:row>7</xdr:row>
      <xdr:rowOff>152400</xdr:rowOff>
    </xdr:from>
    <xdr:to>
      <xdr:col>13</xdr:col>
      <xdr:colOff>389914</xdr:colOff>
      <xdr:row>9</xdr:row>
      <xdr:rowOff>311795</xdr:rowOff>
    </xdr:to>
    <xdr:sp macro="" textlink="">
      <xdr:nvSpPr>
        <xdr:cNvPr id="6" name="Line Callout 1 5">
          <a:extLst>
            <a:ext uri="{FF2B5EF4-FFF2-40B4-BE49-F238E27FC236}">
              <a16:creationId xmlns:a16="http://schemas.microsoft.com/office/drawing/2014/main" id="{855D26A8-0DE9-4697-B552-BD2FD5656A98}"/>
            </a:ext>
          </a:extLst>
        </xdr:cNvPr>
        <xdr:cNvSpPr/>
      </xdr:nvSpPr>
      <xdr:spPr>
        <a:xfrm>
          <a:off x="8796021" y="2956560"/>
          <a:ext cx="2124733" cy="525155"/>
        </a:xfrm>
        <a:prstGeom prst="borderCallout1">
          <a:avLst>
            <a:gd name="adj1" fmla="val -9384"/>
            <a:gd name="adj2" fmla="val 42624"/>
            <a:gd name="adj3" fmla="val -164197"/>
            <a:gd name="adj4" fmla="val 4286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Payment period is 1M, 3M, 6M, 12M for SCIS</a:t>
          </a:r>
          <a:endParaRPr lang="en-US" sz="1100">
            <a:solidFill>
              <a:schemeClr val="tx1"/>
            </a:solidFill>
          </a:endParaRPr>
        </a:p>
      </xdr:txBody>
    </xdr:sp>
    <xdr:clientData/>
  </xdr:twoCellAnchor>
  <xdr:twoCellAnchor>
    <xdr:from>
      <xdr:col>22</xdr:col>
      <xdr:colOff>136843</xdr:colOff>
      <xdr:row>8</xdr:row>
      <xdr:rowOff>151764</xdr:rowOff>
    </xdr:from>
    <xdr:to>
      <xdr:col>24</xdr:col>
      <xdr:colOff>301152</xdr:colOff>
      <xdr:row>11</xdr:row>
      <xdr:rowOff>99060</xdr:rowOff>
    </xdr:to>
    <xdr:sp macro="" textlink="">
      <xdr:nvSpPr>
        <xdr:cNvPr id="7" name="Line Callout 1 3">
          <a:extLst>
            <a:ext uri="{FF2B5EF4-FFF2-40B4-BE49-F238E27FC236}">
              <a16:creationId xmlns:a16="http://schemas.microsoft.com/office/drawing/2014/main" id="{31705F4D-DB1E-41C5-BDF9-2247F7BD5BE6}"/>
            </a:ext>
          </a:extLst>
        </xdr:cNvPr>
        <xdr:cNvSpPr/>
      </xdr:nvSpPr>
      <xdr:spPr>
        <a:xfrm>
          <a:off x="14371003" y="2422524"/>
          <a:ext cx="1993109" cy="678816"/>
        </a:xfrm>
        <a:prstGeom prst="borderCallout1">
          <a:avLst>
            <a:gd name="adj1" fmla="val -12870"/>
            <a:gd name="adj2" fmla="val 45334"/>
            <a:gd name="adj3" fmla="val -161825"/>
            <a:gd name="adj4" fmla="val 361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Daycount method</a:t>
          </a:r>
          <a:r>
            <a:rPr lang="en-US" sz="1100" baseline="0">
              <a:solidFill>
                <a:schemeClr val="tx1"/>
              </a:solidFill>
            </a:rPr>
            <a:t> can be all methods in the dropdown list, except 1/1.</a:t>
          </a:r>
          <a:endParaRPr lang="en-US" sz="1100">
            <a:solidFill>
              <a:schemeClr val="tx1"/>
            </a:solidFill>
          </a:endParaRPr>
        </a:p>
      </xdr:txBody>
    </xdr:sp>
    <xdr:clientData/>
  </xdr:twoCellAnchor>
  <xdr:twoCellAnchor>
    <xdr:from>
      <xdr:col>26</xdr:col>
      <xdr:colOff>69851</xdr:colOff>
      <xdr:row>9</xdr:row>
      <xdr:rowOff>174624</xdr:rowOff>
    </xdr:from>
    <xdr:to>
      <xdr:col>29</xdr:col>
      <xdr:colOff>212726</xdr:colOff>
      <xdr:row>15</xdr:row>
      <xdr:rowOff>184149</xdr:rowOff>
    </xdr:to>
    <xdr:sp macro="" textlink="">
      <xdr:nvSpPr>
        <xdr:cNvPr id="8" name="Line Callout 1 5">
          <a:extLst>
            <a:ext uri="{FF2B5EF4-FFF2-40B4-BE49-F238E27FC236}">
              <a16:creationId xmlns:a16="http://schemas.microsoft.com/office/drawing/2014/main" id="{295430DB-66FF-4B64-AAAD-1D2AFDCAF55F}"/>
            </a:ext>
          </a:extLst>
        </xdr:cNvPr>
        <xdr:cNvSpPr/>
      </xdr:nvSpPr>
      <xdr:spPr>
        <a:xfrm>
          <a:off x="21983701" y="2816224"/>
          <a:ext cx="2778125" cy="1482725"/>
        </a:xfrm>
        <a:prstGeom prst="borderCallout1">
          <a:avLst>
            <a:gd name="adj1" fmla="val -13557"/>
            <a:gd name="adj2" fmla="val 45277"/>
            <a:gd name="adj3" fmla="val -95484"/>
            <a:gd name="adj4" fmla="val 49443"/>
          </a:avLst>
        </a:prstGeom>
        <a:solidFill>
          <a:srgbClr val="FFFF00"/>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New field "Final Exchange"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It</a:t>
          </a: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 </a:t>
          </a: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is mandatory for SCIS and blank for all other products. It is filled on both legs with the same 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Value is </a:t>
          </a: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Yes or No. </a:t>
          </a: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49</xdr:col>
      <xdr:colOff>495300</xdr:colOff>
      <xdr:row>8</xdr:row>
      <xdr:rowOff>0</xdr:rowOff>
    </xdr:from>
    <xdr:to>
      <xdr:col>53</xdr:col>
      <xdr:colOff>495300</xdr:colOff>
      <xdr:row>13</xdr:row>
      <xdr:rowOff>38100</xdr:rowOff>
    </xdr:to>
    <xdr:sp macro="" textlink="">
      <xdr:nvSpPr>
        <xdr:cNvPr id="9" name="Line Callout 1 5">
          <a:extLst>
            <a:ext uri="{FF2B5EF4-FFF2-40B4-BE49-F238E27FC236}">
              <a16:creationId xmlns:a16="http://schemas.microsoft.com/office/drawing/2014/main" id="{02DA290B-0DF5-4B52-9A11-17962601F693}"/>
            </a:ext>
          </a:extLst>
        </xdr:cNvPr>
        <xdr:cNvSpPr/>
      </xdr:nvSpPr>
      <xdr:spPr>
        <a:xfrm>
          <a:off x="33116520" y="2270760"/>
          <a:ext cx="2994660" cy="1135380"/>
        </a:xfrm>
        <a:prstGeom prst="borderCallout1">
          <a:avLst>
            <a:gd name="adj1" fmla="val -13557"/>
            <a:gd name="adj2" fmla="val 45277"/>
            <a:gd name="adj3" fmla="val -75041"/>
            <a:gd name="adj4" fmla="val 42844"/>
          </a:avLst>
        </a:prstGeom>
        <a:solidFill>
          <a:srgbClr val="FFFF00"/>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New field "Final Exchange"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It</a:t>
          </a: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 </a:t>
          </a: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is mandatory for SCIS and blank for all other products. It is filled on both legs with the same 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Value is </a:t>
          </a: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Yes or No. </a:t>
          </a: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46</xdr:col>
      <xdr:colOff>108585</xdr:colOff>
      <xdr:row>8</xdr:row>
      <xdr:rowOff>76200</xdr:rowOff>
    </xdr:from>
    <xdr:to>
      <xdr:col>47</xdr:col>
      <xdr:colOff>1052039</xdr:colOff>
      <xdr:row>11</xdr:row>
      <xdr:rowOff>99060</xdr:rowOff>
    </xdr:to>
    <xdr:sp macro="" textlink="">
      <xdr:nvSpPr>
        <xdr:cNvPr id="10" name="Line Callout 1 3">
          <a:extLst>
            <a:ext uri="{FF2B5EF4-FFF2-40B4-BE49-F238E27FC236}">
              <a16:creationId xmlns:a16="http://schemas.microsoft.com/office/drawing/2014/main" id="{C8F44832-6804-49F4-B4C6-430FCD9CF482}"/>
            </a:ext>
          </a:extLst>
        </xdr:cNvPr>
        <xdr:cNvSpPr/>
      </xdr:nvSpPr>
      <xdr:spPr>
        <a:xfrm>
          <a:off x="29719905" y="2346960"/>
          <a:ext cx="1995014" cy="754380"/>
        </a:xfrm>
        <a:prstGeom prst="borderCallout1">
          <a:avLst>
            <a:gd name="adj1" fmla="val -12870"/>
            <a:gd name="adj2" fmla="val 45334"/>
            <a:gd name="adj3" fmla="val -161825"/>
            <a:gd name="adj4" fmla="val 36130"/>
          </a:avLst>
        </a:prstGeom>
        <a:solidFill>
          <a:srgbClr val="FFFF00"/>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Daycount method can be all methods in the dropdown list, except 1/1.</a:t>
          </a:r>
        </a:p>
      </xdr:txBody>
    </xdr:sp>
    <xdr:clientData/>
  </xdr:twoCellAnchor>
  <xdr:twoCellAnchor>
    <xdr:from>
      <xdr:col>34</xdr:col>
      <xdr:colOff>76200</xdr:colOff>
      <xdr:row>8</xdr:row>
      <xdr:rowOff>28575</xdr:rowOff>
    </xdr:from>
    <xdr:to>
      <xdr:col>37</xdr:col>
      <xdr:colOff>339748</xdr:colOff>
      <xdr:row>10</xdr:row>
      <xdr:rowOff>83820</xdr:rowOff>
    </xdr:to>
    <xdr:sp macro="" textlink="">
      <xdr:nvSpPr>
        <xdr:cNvPr id="11" name="Line Callout 1 5">
          <a:extLst>
            <a:ext uri="{FF2B5EF4-FFF2-40B4-BE49-F238E27FC236}">
              <a16:creationId xmlns:a16="http://schemas.microsoft.com/office/drawing/2014/main" id="{FBC7DFA3-D11B-4D0E-91D9-CA7E6333391D}"/>
            </a:ext>
          </a:extLst>
        </xdr:cNvPr>
        <xdr:cNvSpPr/>
      </xdr:nvSpPr>
      <xdr:spPr>
        <a:xfrm>
          <a:off x="24132540" y="2299335"/>
          <a:ext cx="2115208" cy="603885"/>
        </a:xfrm>
        <a:prstGeom prst="borderCallout1">
          <a:avLst>
            <a:gd name="adj1" fmla="val -9384"/>
            <a:gd name="adj2" fmla="val 42624"/>
            <a:gd name="adj3" fmla="val -137699"/>
            <a:gd name="adj4" fmla="val 43580"/>
          </a:avLst>
        </a:prstGeom>
        <a:solidFill>
          <a:srgbClr val="FFFF00"/>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Payment period is 1M, 3M, 6M, 12M for SCIS</a:t>
          </a:r>
        </a:p>
      </xdr:txBody>
    </xdr:sp>
    <xdr:clientData/>
  </xdr:twoCellAnchor>
  <xdr:twoCellAnchor>
    <xdr:from>
      <xdr:col>13</xdr:col>
      <xdr:colOff>328295</xdr:colOff>
      <xdr:row>13</xdr:row>
      <xdr:rowOff>104140</xdr:rowOff>
    </xdr:from>
    <xdr:to>
      <xdr:col>16</xdr:col>
      <xdr:colOff>450850</xdr:colOff>
      <xdr:row>16</xdr:row>
      <xdr:rowOff>177800</xdr:rowOff>
    </xdr:to>
    <xdr:sp macro="" textlink="">
      <xdr:nvSpPr>
        <xdr:cNvPr id="12" name="Line Callout 1 5">
          <a:extLst>
            <a:ext uri="{FF2B5EF4-FFF2-40B4-BE49-F238E27FC236}">
              <a16:creationId xmlns:a16="http://schemas.microsoft.com/office/drawing/2014/main" id="{EEED16AA-0155-4D3F-AEF2-02482ECADA62}"/>
            </a:ext>
          </a:extLst>
        </xdr:cNvPr>
        <xdr:cNvSpPr/>
      </xdr:nvSpPr>
      <xdr:spPr>
        <a:xfrm>
          <a:off x="11072495" y="3850640"/>
          <a:ext cx="2637155" cy="626110"/>
        </a:xfrm>
        <a:prstGeom prst="borderCallout1">
          <a:avLst>
            <a:gd name="adj1" fmla="val -8162"/>
            <a:gd name="adj2" fmla="val 49637"/>
            <a:gd name="adj3" fmla="val -287262"/>
            <a:gd name="adj4" fmla="val 6686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Mandatory for SCIS. </a:t>
          </a:r>
        </a:p>
        <a:p>
          <a:pPr algn="l"/>
          <a:r>
            <a:rPr lang="en-US" sz="1100" baseline="0">
              <a:solidFill>
                <a:schemeClr val="tx1"/>
              </a:solidFill>
            </a:rPr>
            <a:t>It lists the Initial Index Level as entered.</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219075</xdr:colOff>
      <xdr:row>1</xdr:row>
      <xdr:rowOff>104775</xdr:rowOff>
    </xdr:to>
    <xdr:pic>
      <xdr:nvPicPr>
        <xdr:cNvPr id="10974" name="Picture 4">
          <a:extLst>
            <a:ext uri="{FF2B5EF4-FFF2-40B4-BE49-F238E27FC236}">
              <a16:creationId xmlns:a16="http://schemas.microsoft.com/office/drawing/2014/main" id="{5687CE98-CA7B-6188-1C1B-8A2CFC79EA9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066925"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9</xdr:col>
      <xdr:colOff>371475</xdr:colOff>
      <xdr:row>0</xdr:row>
      <xdr:rowOff>190500</xdr:rowOff>
    </xdr:from>
    <xdr:to>
      <xdr:col>10</xdr:col>
      <xdr:colOff>857250</xdr:colOff>
      <xdr:row>0</xdr:row>
      <xdr:rowOff>466725</xdr:rowOff>
    </xdr:to>
    <xdr:pic>
      <xdr:nvPicPr>
        <xdr:cNvPr id="73130" name="Picture 1">
          <a:extLst>
            <a:ext uri="{FF2B5EF4-FFF2-40B4-BE49-F238E27FC236}">
              <a16:creationId xmlns:a16="http://schemas.microsoft.com/office/drawing/2014/main" id="{ADC1FCD7-9DF1-D820-EF51-25D549DBECC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96075" y="190500"/>
          <a:ext cx="20859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164464</xdr:colOff>
      <xdr:row>0</xdr:row>
      <xdr:rowOff>66675</xdr:rowOff>
    </xdr:from>
    <xdr:to>
      <xdr:col>16</xdr:col>
      <xdr:colOff>250860</xdr:colOff>
      <xdr:row>0</xdr:row>
      <xdr:rowOff>523875</xdr:rowOff>
    </xdr:to>
    <xdr:sp macro="" textlink="">
      <xdr:nvSpPr>
        <xdr:cNvPr id="4" name="Line Callout 1 3">
          <a:extLst>
            <a:ext uri="{FF2B5EF4-FFF2-40B4-BE49-F238E27FC236}">
              <a16:creationId xmlns:a16="http://schemas.microsoft.com/office/drawing/2014/main" id="{9B295288-1F42-2614-7ED2-A31FD92462C0}"/>
            </a:ext>
          </a:extLst>
        </xdr:cNvPr>
        <xdr:cNvSpPr/>
      </xdr:nvSpPr>
      <xdr:spPr>
        <a:xfrm>
          <a:off x="7924799" y="57150"/>
          <a:ext cx="4505326" cy="466725"/>
        </a:xfrm>
        <a:prstGeom prst="borderCallout1">
          <a:avLst>
            <a:gd name="adj1" fmla="val 50080"/>
            <a:gd name="adj2" fmla="val -606"/>
            <a:gd name="adj3" fmla="val 54303"/>
            <a:gd name="adj4" fmla="val -20482"/>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Use this button to export the template to</a:t>
          </a:r>
          <a:r>
            <a:rPr lang="en-GB" sz="1100" baseline="0">
              <a:solidFill>
                <a:sysClr val="windowText" lastClr="000000"/>
              </a:solidFill>
            </a:rPr>
            <a:t> the csv file.  Only files in the csv format are accepted by the Margin Calculator</a:t>
          </a:r>
          <a:r>
            <a:rPr lang="en-GB" sz="1100" baseline="0">
              <a:solidFill>
                <a:schemeClr val="lt1"/>
              </a:solidFill>
            </a:rPr>
            <a:t>.</a:t>
          </a:r>
          <a:endParaRPr lang="en-GB" sz="1100"/>
        </a:p>
      </xdr:txBody>
    </xdr:sp>
    <xdr:clientData/>
  </xdr:twoCellAnchor>
  <xdr:twoCellAnchor>
    <xdr:from>
      <xdr:col>6</xdr:col>
      <xdr:colOff>299401</xdr:colOff>
      <xdr:row>0</xdr:row>
      <xdr:rowOff>47624</xdr:rowOff>
    </xdr:from>
    <xdr:to>
      <xdr:col>9</xdr:col>
      <xdr:colOff>390524</xdr:colOff>
      <xdr:row>1</xdr:row>
      <xdr:rowOff>85726</xdr:rowOff>
    </xdr:to>
    <xdr:sp macro="" textlink="">
      <xdr:nvSpPr>
        <xdr:cNvPr id="5" name="Line Callout 1 4">
          <a:extLst>
            <a:ext uri="{FF2B5EF4-FFF2-40B4-BE49-F238E27FC236}">
              <a16:creationId xmlns:a16="http://schemas.microsoft.com/office/drawing/2014/main" id="{86447198-DD79-58C3-1FBD-4853793365AF}"/>
            </a:ext>
          </a:extLst>
        </xdr:cNvPr>
        <xdr:cNvSpPr/>
      </xdr:nvSpPr>
      <xdr:spPr>
        <a:xfrm>
          <a:off x="4223701" y="47624"/>
          <a:ext cx="2491423" cy="647702"/>
        </a:xfrm>
        <a:prstGeom prst="borderCallout1">
          <a:avLst>
            <a:gd name="adj1" fmla="val 50080"/>
            <a:gd name="adj2" fmla="val -606"/>
            <a:gd name="adj3" fmla="val 109405"/>
            <a:gd name="adj4" fmla="val -1365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effectLst/>
              <a:latin typeface="+mn-lt"/>
              <a:ea typeface="+mn-ea"/>
              <a:cs typeface="+mn-cs"/>
            </a:rPr>
            <a:t>The user may use a template with either "Contract Date”, “Contract Y/M"  or "Expiry Y,M,D" in the header.</a:t>
          </a:r>
          <a:endParaRPr lang="en-GB" sz="1100">
            <a:solidFill>
              <a:sysClr val="windowText" lastClr="000000"/>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47625</xdr:colOff>
      <xdr:row>0</xdr:row>
      <xdr:rowOff>142875</xdr:rowOff>
    </xdr:from>
    <xdr:to>
      <xdr:col>12</xdr:col>
      <xdr:colOff>57150</xdr:colOff>
      <xdr:row>0</xdr:row>
      <xdr:rowOff>419100</xdr:rowOff>
    </xdr:to>
    <xdr:pic>
      <xdr:nvPicPr>
        <xdr:cNvPr id="86056" name="Picture 3">
          <a:extLst>
            <a:ext uri="{FF2B5EF4-FFF2-40B4-BE49-F238E27FC236}">
              <a16:creationId xmlns:a16="http://schemas.microsoft.com/office/drawing/2014/main" id="{C326BC43-FBB2-F776-9071-FB37D423B7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15050" y="1428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348616</xdr:colOff>
      <xdr:row>18</xdr:row>
      <xdr:rowOff>79374</xdr:rowOff>
    </xdr:from>
    <xdr:to>
      <xdr:col>8</xdr:col>
      <xdr:colOff>671849</xdr:colOff>
      <xdr:row>23</xdr:row>
      <xdr:rowOff>76222</xdr:rowOff>
    </xdr:to>
    <xdr:sp macro="" textlink="">
      <xdr:nvSpPr>
        <xdr:cNvPr id="4" name="Line Callout 1 3">
          <a:extLst>
            <a:ext uri="{FF2B5EF4-FFF2-40B4-BE49-F238E27FC236}">
              <a16:creationId xmlns:a16="http://schemas.microsoft.com/office/drawing/2014/main" id="{C6B803E5-58FC-A2CB-95FC-3B437A92D064}"/>
            </a:ext>
          </a:extLst>
        </xdr:cNvPr>
        <xdr:cNvSpPr/>
      </xdr:nvSpPr>
      <xdr:spPr>
        <a:xfrm>
          <a:off x="2019300" y="3676650"/>
          <a:ext cx="3962400" cy="942976"/>
        </a:xfrm>
        <a:prstGeom prst="borderCallout1">
          <a:avLst>
            <a:gd name="adj1" fmla="val -11147"/>
            <a:gd name="adj2" fmla="val 62470"/>
            <a:gd name="adj3" fmla="val -183025"/>
            <a:gd name="adj4" fmla="val 7718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 version number for Future and Flex Future should</a:t>
          </a:r>
          <a:r>
            <a:rPr lang="en-US" sz="1100" baseline="0">
              <a:solidFill>
                <a:schemeClr val="tx1"/>
              </a:solidFill>
            </a:rPr>
            <a:t> be blank or zero.</a:t>
          </a:r>
          <a:endParaRPr lang="en-US" sz="1100">
            <a:solidFill>
              <a:schemeClr val="tx1"/>
            </a:solidFill>
          </a:endParaRPr>
        </a:p>
      </xdr:txBody>
    </xdr:sp>
    <xdr:clientData/>
  </xdr:twoCellAnchor>
  <xdr:twoCellAnchor>
    <xdr:from>
      <xdr:col>12</xdr:col>
      <xdr:colOff>763271</xdr:colOff>
      <xdr:row>18</xdr:row>
      <xdr:rowOff>64134</xdr:rowOff>
    </xdr:from>
    <xdr:to>
      <xdr:col>17</xdr:col>
      <xdr:colOff>294671</xdr:colOff>
      <xdr:row>24</xdr:row>
      <xdr:rowOff>64134</xdr:rowOff>
    </xdr:to>
    <xdr:sp macro="" textlink="">
      <xdr:nvSpPr>
        <xdr:cNvPr id="7" name="Line Callout 1 6">
          <a:extLst>
            <a:ext uri="{FF2B5EF4-FFF2-40B4-BE49-F238E27FC236}">
              <a16:creationId xmlns:a16="http://schemas.microsoft.com/office/drawing/2014/main" id="{F2FBAF40-B61D-E184-7655-35D9C69B051B}"/>
            </a:ext>
          </a:extLst>
        </xdr:cNvPr>
        <xdr:cNvSpPr/>
      </xdr:nvSpPr>
      <xdr:spPr>
        <a:xfrm>
          <a:off x="7058025" y="3657600"/>
          <a:ext cx="2828925" cy="1143000"/>
        </a:xfrm>
        <a:prstGeom prst="borderCallout1">
          <a:avLst>
            <a:gd name="adj1" fmla="val -3083"/>
            <a:gd name="adj2" fmla="val 51568"/>
            <a:gd name="adj3" fmla="val -130544"/>
            <a:gd name="adj4" fmla="val 454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A non-negative number (zero allowed) should be entered in the last four columns. No blanks are allowed.</a:t>
          </a:r>
        </a:p>
      </xdr:txBody>
    </xdr:sp>
    <xdr:clientData/>
  </xdr:twoCellAnchor>
  <xdr:twoCellAnchor>
    <xdr:from>
      <xdr:col>9</xdr:col>
      <xdr:colOff>594044</xdr:colOff>
      <xdr:row>18</xdr:row>
      <xdr:rowOff>84136</xdr:rowOff>
    </xdr:from>
    <xdr:to>
      <xdr:col>12</xdr:col>
      <xdr:colOff>632197</xdr:colOff>
      <xdr:row>23</xdr:row>
      <xdr:rowOff>80984</xdr:rowOff>
    </xdr:to>
    <xdr:sp macro="" textlink="">
      <xdr:nvSpPr>
        <xdr:cNvPr id="6" name="Line Callout 1 5">
          <a:extLst>
            <a:ext uri="{FF2B5EF4-FFF2-40B4-BE49-F238E27FC236}">
              <a16:creationId xmlns:a16="http://schemas.microsoft.com/office/drawing/2014/main" id="{5AFCBE86-6229-B17F-86FC-DE468CAF5490}"/>
            </a:ext>
          </a:extLst>
        </xdr:cNvPr>
        <xdr:cNvSpPr/>
      </xdr:nvSpPr>
      <xdr:spPr>
        <a:xfrm>
          <a:off x="6661469" y="4427536"/>
          <a:ext cx="2095553" cy="949348"/>
        </a:xfrm>
        <a:prstGeom prst="borderCallout1">
          <a:avLst>
            <a:gd name="adj1" fmla="val -3120"/>
            <a:gd name="adj2" fmla="val 58379"/>
            <a:gd name="adj3" fmla="val -207336"/>
            <a:gd name="adj4" fmla="val 4267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Those</a:t>
          </a:r>
          <a:r>
            <a:rPr lang="en-US" sz="1100" baseline="0">
              <a:solidFill>
                <a:schemeClr val="tx1"/>
              </a:solidFill>
            </a:rPr>
            <a:t>  three fields should be left empty</a:t>
          </a:r>
          <a:endParaRPr lang="en-US" sz="1100">
            <a:solidFill>
              <a:schemeClr val="tx1"/>
            </a:solidFill>
          </a:endParaRPr>
        </a:p>
      </xdr:txBody>
    </xdr:sp>
    <xdr:clientData/>
  </xdr:twoCellAnchor>
  <xdr:twoCellAnchor>
    <xdr:from>
      <xdr:col>18</xdr:col>
      <xdr:colOff>66676</xdr:colOff>
      <xdr:row>11</xdr:row>
      <xdr:rowOff>159384</xdr:rowOff>
    </xdr:from>
    <xdr:to>
      <xdr:col>22</xdr:col>
      <xdr:colOff>110555</xdr:colOff>
      <xdr:row>21</xdr:row>
      <xdr:rowOff>3244</xdr:rowOff>
    </xdr:to>
    <xdr:sp macro="" textlink="">
      <xdr:nvSpPr>
        <xdr:cNvPr id="8" name="Line Callout 1 7">
          <a:extLst>
            <a:ext uri="{FF2B5EF4-FFF2-40B4-BE49-F238E27FC236}">
              <a16:creationId xmlns:a16="http://schemas.microsoft.com/office/drawing/2014/main" id="{00F8E7CE-742C-501A-DB11-44E5E7AAD401}"/>
            </a:ext>
          </a:extLst>
        </xdr:cNvPr>
        <xdr:cNvSpPr/>
      </xdr:nvSpPr>
      <xdr:spPr>
        <a:xfrm>
          <a:off x="12058651" y="3169284"/>
          <a:ext cx="2444179" cy="1748860"/>
        </a:xfrm>
        <a:prstGeom prst="borderCallout1">
          <a:avLst>
            <a:gd name="adj1" fmla="val -254"/>
            <a:gd name="adj2" fmla="val 56624"/>
            <a:gd name="adj3" fmla="val -93793"/>
            <a:gd name="adj4" fmla="val -2727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Positions having the same product Id, expiry date, version number and product settlement type should be aggregated into one line otherwise an error message will be returned when uploading the file to the Margin Calculator.</a:t>
          </a:r>
        </a:p>
      </xdr:txBody>
    </xdr:sp>
    <xdr:clientData/>
  </xdr:twoCellAnchor>
  <xdr:twoCellAnchor>
    <xdr:from>
      <xdr:col>0</xdr:col>
      <xdr:colOff>0</xdr:colOff>
      <xdr:row>16</xdr:row>
      <xdr:rowOff>159385</xdr:rowOff>
    </xdr:from>
    <xdr:to>
      <xdr:col>1</xdr:col>
      <xdr:colOff>478673</xdr:colOff>
      <xdr:row>19</xdr:row>
      <xdr:rowOff>79373</xdr:rowOff>
    </xdr:to>
    <xdr:sp macro="" textlink="">
      <xdr:nvSpPr>
        <xdr:cNvPr id="9" name="Line Callout 1 8">
          <a:extLst>
            <a:ext uri="{FF2B5EF4-FFF2-40B4-BE49-F238E27FC236}">
              <a16:creationId xmlns:a16="http://schemas.microsoft.com/office/drawing/2014/main" id="{2134F9EB-4D72-CF63-43DC-9452952EFAA9}"/>
            </a:ext>
          </a:extLst>
        </xdr:cNvPr>
        <xdr:cNvSpPr/>
      </xdr:nvSpPr>
      <xdr:spPr>
        <a:xfrm>
          <a:off x="0" y="3371850"/>
          <a:ext cx="1552574" cy="495300"/>
        </a:xfrm>
        <a:prstGeom prst="borderCallout1">
          <a:avLst>
            <a:gd name="adj1" fmla="val -11147"/>
            <a:gd name="adj2" fmla="val 62470"/>
            <a:gd name="adj3" fmla="val -153305"/>
            <a:gd name="adj4" fmla="val 4753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Eurex product ID (three or four characters)</a:t>
          </a:r>
        </a:p>
        <a:p>
          <a:endParaRPr lang="en-US" sz="1100">
            <a:solidFill>
              <a:schemeClr val="tx1"/>
            </a:solidFill>
          </a:endParaRPr>
        </a:p>
      </xdr:txBody>
    </xdr:sp>
    <xdr:clientData/>
  </xdr:twoCellAnchor>
  <xdr:twoCellAnchor>
    <xdr:from>
      <xdr:col>6</xdr:col>
      <xdr:colOff>522605</xdr:colOff>
      <xdr:row>25</xdr:row>
      <xdr:rowOff>28892</xdr:rowOff>
    </xdr:from>
    <xdr:to>
      <xdr:col>10</xdr:col>
      <xdr:colOff>517880</xdr:colOff>
      <xdr:row>28</xdr:row>
      <xdr:rowOff>143325</xdr:rowOff>
    </xdr:to>
    <xdr:sp macro="" textlink="">
      <xdr:nvSpPr>
        <xdr:cNvPr id="11" name="Line Callout 1 4">
          <a:extLst>
            <a:ext uri="{FF2B5EF4-FFF2-40B4-BE49-F238E27FC236}">
              <a16:creationId xmlns:a16="http://schemas.microsoft.com/office/drawing/2014/main" id="{04B73B48-9682-15B9-91CE-A67148FA30FD}"/>
            </a:ext>
          </a:extLst>
        </xdr:cNvPr>
        <xdr:cNvSpPr/>
      </xdr:nvSpPr>
      <xdr:spPr>
        <a:xfrm>
          <a:off x="4675505" y="5705792"/>
          <a:ext cx="2509875" cy="1066933"/>
        </a:xfrm>
        <a:prstGeom prst="borderCallout1">
          <a:avLst>
            <a:gd name="adj1" fmla="val 50080"/>
            <a:gd name="adj2" fmla="val -606"/>
            <a:gd name="adj3" fmla="val -229216"/>
            <a:gd name="adj4" fmla="val -76482"/>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effectLst/>
              <a:latin typeface="+mn-lt"/>
              <a:ea typeface="+mn-ea"/>
              <a:cs typeface="+mn-cs"/>
            </a:rPr>
            <a:t>The user may use a template with either "Contract Date”, “Contract Y/M"  or "Expiry Y,M,D" in the header.</a:t>
          </a:r>
          <a:endParaRPr lang="en-GB" sz="1100">
            <a:solidFill>
              <a:sysClr val="windowText" lastClr="000000"/>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232727</xdr:colOff>
      <xdr:row>16</xdr:row>
      <xdr:rowOff>318</xdr:rowOff>
    </xdr:from>
    <xdr:to>
      <xdr:col>12</xdr:col>
      <xdr:colOff>323234</xdr:colOff>
      <xdr:row>19</xdr:row>
      <xdr:rowOff>114618</xdr:rowOff>
    </xdr:to>
    <xdr:sp macro="" textlink="">
      <xdr:nvSpPr>
        <xdr:cNvPr id="2" name="Line Callout 1 4">
          <a:extLst>
            <a:ext uri="{FF2B5EF4-FFF2-40B4-BE49-F238E27FC236}">
              <a16:creationId xmlns:a16="http://schemas.microsoft.com/office/drawing/2014/main" id="{2584A707-6CEC-B435-D50E-78DCA6BD464B}"/>
            </a:ext>
          </a:extLst>
        </xdr:cNvPr>
        <xdr:cNvSpPr/>
      </xdr:nvSpPr>
      <xdr:spPr>
        <a:xfrm>
          <a:off x="4658677" y="4311968"/>
          <a:ext cx="2500314" cy="685800"/>
        </a:xfrm>
        <a:prstGeom prst="borderCallout1">
          <a:avLst>
            <a:gd name="adj1" fmla="val 50080"/>
            <a:gd name="adj2" fmla="val -606"/>
            <a:gd name="adj3" fmla="val -216682"/>
            <a:gd name="adj4" fmla="val -85849"/>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ysClr val="windowText" lastClr="000000"/>
              </a:solidFill>
              <a:effectLst/>
              <a:latin typeface="+mn-lt"/>
              <a:ea typeface="+mn-ea"/>
              <a:cs typeface="+mn-cs"/>
            </a:rPr>
            <a:t>The user may use a template with either "Contract Date”, “Contract Y/M"  or "Expiry Y,M,D" in the header.</a:t>
          </a:r>
          <a:endParaRPr lang="en-US">
            <a:solidFill>
              <a:sysClr val="windowText" lastClr="000000"/>
            </a:solidFill>
            <a:effectLst/>
          </a:endParaRPr>
        </a:p>
      </xdr:txBody>
    </xdr:sp>
    <xdr:clientData/>
  </xdr:twoCellAnchor>
  <xdr:twoCellAnchor>
    <xdr:from>
      <xdr:col>1</xdr:col>
      <xdr:colOff>110490</xdr:colOff>
      <xdr:row>12</xdr:row>
      <xdr:rowOff>111759</xdr:rowOff>
    </xdr:from>
    <xdr:to>
      <xdr:col>5</xdr:col>
      <xdr:colOff>432472</xdr:colOff>
      <xdr:row>17</xdr:row>
      <xdr:rowOff>38088</xdr:rowOff>
    </xdr:to>
    <xdr:sp macro="" textlink="">
      <xdr:nvSpPr>
        <xdr:cNvPr id="4" name="Line Callout 1 2">
          <a:extLst>
            <a:ext uri="{FF2B5EF4-FFF2-40B4-BE49-F238E27FC236}">
              <a16:creationId xmlns:a16="http://schemas.microsoft.com/office/drawing/2014/main" id="{968952AC-DE90-3007-FACA-8A91089BA945}"/>
            </a:ext>
          </a:extLst>
        </xdr:cNvPr>
        <xdr:cNvSpPr/>
      </xdr:nvSpPr>
      <xdr:spPr>
        <a:xfrm>
          <a:off x="720090" y="3661409"/>
          <a:ext cx="2226959" cy="872508"/>
        </a:xfrm>
        <a:prstGeom prst="borderCallout1">
          <a:avLst>
            <a:gd name="adj1" fmla="val -17599"/>
            <a:gd name="adj2" fmla="val 49523"/>
            <a:gd name="adj3" fmla="val -91150"/>
            <a:gd name="adj4" fmla="val 4029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Expiry dates</a:t>
          </a:r>
          <a:r>
            <a:rPr lang="en-US" sz="1100" baseline="0">
              <a:solidFill>
                <a:schemeClr val="tx1"/>
              </a:solidFill>
            </a:rPr>
            <a:t> will be some particular dates defined for the swap futures products that are traded</a:t>
          </a:r>
        </a:p>
        <a:p>
          <a:endParaRPr lang="en-US" sz="1100">
            <a:solidFill>
              <a:schemeClr val="tx1"/>
            </a:solidFill>
          </a:endParaRPr>
        </a:p>
      </xdr:txBody>
    </xdr:sp>
    <xdr:clientData/>
  </xdr:twoCellAnchor>
  <xdr:twoCellAnchor>
    <xdr:from>
      <xdr:col>7</xdr:col>
      <xdr:colOff>199073</xdr:colOff>
      <xdr:row>11</xdr:row>
      <xdr:rowOff>31750</xdr:rowOff>
    </xdr:from>
    <xdr:to>
      <xdr:col>10</xdr:col>
      <xdr:colOff>490688</xdr:colOff>
      <xdr:row>13</xdr:row>
      <xdr:rowOff>186138</xdr:rowOff>
    </xdr:to>
    <xdr:sp macro="" textlink="">
      <xdr:nvSpPr>
        <xdr:cNvPr id="5" name="Line Callout 1 4">
          <a:extLst>
            <a:ext uri="{FF2B5EF4-FFF2-40B4-BE49-F238E27FC236}">
              <a16:creationId xmlns:a16="http://schemas.microsoft.com/office/drawing/2014/main" id="{03C31744-23D9-04B0-E77B-3FDDEED11A0A}"/>
            </a:ext>
          </a:extLst>
        </xdr:cNvPr>
        <xdr:cNvSpPr/>
      </xdr:nvSpPr>
      <xdr:spPr>
        <a:xfrm>
          <a:off x="4742498" y="3003550"/>
          <a:ext cx="2091840" cy="535388"/>
        </a:xfrm>
        <a:prstGeom prst="borderCallout1">
          <a:avLst>
            <a:gd name="adj1" fmla="val -9127"/>
            <a:gd name="adj2" fmla="val 49970"/>
            <a:gd name="adj3" fmla="val -111301"/>
            <a:gd name="adj4" fmla="val 4177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Is set to "D" due to physical</a:t>
          </a:r>
          <a:r>
            <a:rPr lang="en-US" sz="1100" baseline="0">
              <a:solidFill>
                <a:schemeClr val="tx1"/>
              </a:solidFill>
            </a:rPr>
            <a:t> delivery of derivative contract</a:t>
          </a:r>
          <a:endParaRPr lang="en-US" sz="1100">
            <a:solidFill>
              <a:schemeClr val="tx1"/>
            </a:solidFill>
          </a:endParaRPr>
        </a:p>
      </xdr:txBody>
    </xdr:sp>
    <xdr:clientData/>
  </xdr:twoCellAnchor>
  <xdr:twoCellAnchor>
    <xdr:from>
      <xdr:col>1</xdr:col>
      <xdr:colOff>19050</xdr:colOff>
      <xdr:row>6</xdr:row>
      <xdr:rowOff>729615</xdr:rowOff>
    </xdr:from>
    <xdr:to>
      <xdr:col>4</xdr:col>
      <xdr:colOff>0</xdr:colOff>
      <xdr:row>8</xdr:row>
      <xdr:rowOff>41598</xdr:rowOff>
    </xdr:to>
    <xdr:sp macro="" textlink="">
      <xdr:nvSpPr>
        <xdr:cNvPr id="6" name="Rectangle 5">
          <a:extLst>
            <a:ext uri="{FF2B5EF4-FFF2-40B4-BE49-F238E27FC236}">
              <a16:creationId xmlns:a16="http://schemas.microsoft.com/office/drawing/2014/main" id="{B8BDB015-B47C-8D63-0C82-5B6103AF6300}"/>
            </a:ext>
          </a:extLst>
        </xdr:cNvPr>
        <xdr:cNvSpPr/>
      </xdr:nvSpPr>
      <xdr:spPr>
        <a:xfrm>
          <a:off x="619125" y="2158365"/>
          <a:ext cx="1895475" cy="670599"/>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4</xdr:col>
      <xdr:colOff>154941</xdr:colOff>
      <xdr:row>28</xdr:row>
      <xdr:rowOff>79373</xdr:rowOff>
    </xdr:from>
    <xdr:to>
      <xdr:col>8</xdr:col>
      <xdr:colOff>475371</xdr:colOff>
      <xdr:row>33</xdr:row>
      <xdr:rowOff>174775</xdr:rowOff>
    </xdr:to>
    <xdr:sp macro="" textlink="">
      <xdr:nvSpPr>
        <xdr:cNvPr id="7" name="Line Callout 1 5">
          <a:extLst>
            <a:ext uri="{FF2B5EF4-FFF2-40B4-BE49-F238E27FC236}">
              <a16:creationId xmlns:a16="http://schemas.microsoft.com/office/drawing/2014/main" id="{9CB93306-51C2-E720-4CD5-60F6FEF8F996}"/>
            </a:ext>
          </a:extLst>
        </xdr:cNvPr>
        <xdr:cNvSpPr/>
      </xdr:nvSpPr>
      <xdr:spPr>
        <a:xfrm>
          <a:off x="2738121" y="6937373"/>
          <a:ext cx="3017910" cy="1009802"/>
        </a:xfrm>
        <a:prstGeom prst="borderCallout1">
          <a:avLst>
            <a:gd name="adj1" fmla="val -12391"/>
            <a:gd name="adj2" fmla="val 49949"/>
            <a:gd name="adj3" fmla="val -57330"/>
            <a:gd name="adj4" fmla="val 3531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nSpc>
              <a:spcPts val="1100"/>
            </a:lnSpc>
          </a:pPr>
          <a:r>
            <a:rPr lang="en-US" sz="1100">
              <a:solidFill>
                <a:schemeClr val="tx1"/>
              </a:solidFill>
            </a:rPr>
            <a:t>Effective</a:t>
          </a:r>
          <a:r>
            <a:rPr lang="en-US" sz="1100" baseline="0">
              <a:solidFill>
                <a:schemeClr val="tx1"/>
              </a:solidFill>
            </a:rPr>
            <a:t> date is the next day after swap futures expiry. Termination date to be considered depends on the type of the product (FSWS, FSWM etc.)</a:t>
          </a:r>
          <a:endParaRPr lang="en-US" sz="1100">
            <a:solidFill>
              <a:schemeClr val="tx1"/>
            </a:solidFill>
          </a:endParaRPr>
        </a:p>
      </xdr:txBody>
    </xdr:sp>
    <xdr:clientData/>
  </xdr:twoCellAnchor>
  <xdr:twoCellAnchor>
    <xdr:from>
      <xdr:col>9</xdr:col>
      <xdr:colOff>406718</xdr:colOff>
      <xdr:row>29</xdr:row>
      <xdr:rowOff>41274</xdr:rowOff>
    </xdr:from>
    <xdr:to>
      <xdr:col>13</xdr:col>
      <xdr:colOff>200747</xdr:colOff>
      <xdr:row>35</xdr:row>
      <xdr:rowOff>30480</xdr:rowOff>
    </xdr:to>
    <xdr:sp macro="" textlink="">
      <xdr:nvSpPr>
        <xdr:cNvPr id="8" name="Line Callout 1 7">
          <a:extLst>
            <a:ext uri="{FF2B5EF4-FFF2-40B4-BE49-F238E27FC236}">
              <a16:creationId xmlns:a16="http://schemas.microsoft.com/office/drawing/2014/main" id="{30646E12-AE00-BE70-57BD-F74116C33958}"/>
            </a:ext>
          </a:extLst>
        </xdr:cNvPr>
        <xdr:cNvSpPr/>
      </xdr:nvSpPr>
      <xdr:spPr>
        <a:xfrm>
          <a:off x="6304598" y="7082154"/>
          <a:ext cx="2262909" cy="1086486"/>
        </a:xfrm>
        <a:prstGeom prst="borderCallout1">
          <a:avLst>
            <a:gd name="adj1" fmla="val -12391"/>
            <a:gd name="adj2" fmla="val 49949"/>
            <a:gd name="adj3" fmla="val -65007"/>
            <a:gd name="adj4" fmla="val 2971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Notional</a:t>
          </a:r>
          <a:r>
            <a:rPr lang="en-US" sz="1100" baseline="0">
              <a:solidFill>
                <a:schemeClr val="tx1"/>
              </a:solidFill>
            </a:rPr>
            <a:t> amount depends on the number of swap future contracts. Each swap future contract results in physical delivery of interest rate swap with 100000 EUR in notional </a:t>
          </a:r>
          <a:endParaRPr lang="en-US" sz="1100">
            <a:solidFill>
              <a:schemeClr val="tx1"/>
            </a:solidFill>
          </a:endParaRPr>
        </a:p>
      </xdr:txBody>
    </xdr:sp>
    <xdr:clientData/>
  </xdr:twoCellAnchor>
  <xdr:twoCellAnchor>
    <xdr:from>
      <xdr:col>24</xdr:col>
      <xdr:colOff>136208</xdr:colOff>
      <xdr:row>28</xdr:row>
      <xdr:rowOff>56514</xdr:rowOff>
    </xdr:from>
    <xdr:to>
      <xdr:col>27</xdr:col>
      <xdr:colOff>554202</xdr:colOff>
      <xdr:row>33</xdr:row>
      <xdr:rowOff>30525</xdr:rowOff>
    </xdr:to>
    <xdr:sp macro="" textlink="">
      <xdr:nvSpPr>
        <xdr:cNvPr id="9" name="Line Callout 1 8">
          <a:extLst>
            <a:ext uri="{FF2B5EF4-FFF2-40B4-BE49-F238E27FC236}">
              <a16:creationId xmlns:a16="http://schemas.microsoft.com/office/drawing/2014/main" id="{6EEE13C6-5193-FCE2-D7FB-7AE9B3DB2579}"/>
            </a:ext>
          </a:extLst>
        </xdr:cNvPr>
        <xdr:cNvSpPr/>
      </xdr:nvSpPr>
      <xdr:spPr>
        <a:xfrm>
          <a:off x="17151668" y="6914514"/>
          <a:ext cx="2269654" cy="888411"/>
        </a:xfrm>
        <a:prstGeom prst="borderCallout1">
          <a:avLst>
            <a:gd name="adj1" fmla="val -12391"/>
            <a:gd name="adj2" fmla="val 49949"/>
            <a:gd name="adj3" fmla="val -60867"/>
            <a:gd name="adj4" fmla="val 4147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Pay/Receive</a:t>
          </a:r>
          <a:r>
            <a:rPr lang="en-US" sz="1100" baseline="0">
              <a:solidFill>
                <a:schemeClr val="tx1"/>
              </a:solidFill>
            </a:rPr>
            <a:t> side will change depending on the direction of the swap futures trade (long or short)</a:t>
          </a:r>
          <a:endParaRPr lang="en-US" sz="1100">
            <a:solidFill>
              <a:schemeClr val="tx1"/>
            </a:solidFill>
          </a:endParaRPr>
        </a:p>
      </xdr:txBody>
    </xdr:sp>
    <xdr:clientData/>
  </xdr:twoCellAnchor>
  <xdr:twoCellAnchor>
    <xdr:from>
      <xdr:col>17</xdr:col>
      <xdr:colOff>801053</xdr:colOff>
      <xdr:row>10</xdr:row>
      <xdr:rowOff>140335</xdr:rowOff>
    </xdr:from>
    <xdr:to>
      <xdr:col>19</xdr:col>
      <xdr:colOff>277358</xdr:colOff>
      <xdr:row>17</xdr:row>
      <xdr:rowOff>173286</xdr:rowOff>
    </xdr:to>
    <xdr:sp macro="" textlink="">
      <xdr:nvSpPr>
        <xdr:cNvPr id="10" name="Line Callout 1 9">
          <a:extLst>
            <a:ext uri="{FF2B5EF4-FFF2-40B4-BE49-F238E27FC236}">
              <a16:creationId xmlns:a16="http://schemas.microsoft.com/office/drawing/2014/main" id="{01BB594B-6995-C16F-6FD8-F9E262265893}"/>
            </a:ext>
          </a:extLst>
        </xdr:cNvPr>
        <xdr:cNvSpPr/>
      </xdr:nvSpPr>
      <xdr:spPr>
        <a:xfrm>
          <a:off x="11345228" y="2921635"/>
          <a:ext cx="2486205" cy="1366451"/>
        </a:xfrm>
        <a:prstGeom prst="borderCallout1">
          <a:avLst>
            <a:gd name="adj1" fmla="val -11147"/>
            <a:gd name="adj2" fmla="val 62470"/>
            <a:gd name="adj3" fmla="val -41292"/>
            <a:gd name="adj4" fmla="val -4063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Positions having the same product Id, expiry date, version number and product settlement type should be aggregated into one line otherwise an error message will be returned when uploading the file to the Margin Calculator.</a:t>
          </a:r>
        </a:p>
      </xdr:txBody>
    </xdr:sp>
    <xdr:clientData/>
  </xdr:twoCellAnchor>
  <xdr:twoCellAnchor editAs="oneCell">
    <xdr:from>
      <xdr:col>9</xdr:col>
      <xdr:colOff>47625</xdr:colOff>
      <xdr:row>5</xdr:row>
      <xdr:rowOff>142875</xdr:rowOff>
    </xdr:from>
    <xdr:to>
      <xdr:col>12</xdr:col>
      <xdr:colOff>314325</xdr:colOff>
      <xdr:row>5</xdr:row>
      <xdr:rowOff>419100</xdr:rowOff>
    </xdr:to>
    <xdr:pic>
      <xdr:nvPicPr>
        <xdr:cNvPr id="80782" name="Picture 3">
          <a:extLst>
            <a:ext uri="{FF2B5EF4-FFF2-40B4-BE49-F238E27FC236}">
              <a16:creationId xmlns:a16="http://schemas.microsoft.com/office/drawing/2014/main" id="{4B9C7142-25F1-C200-57AB-45D0B4BDF88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91200" y="10953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4</xdr:col>
      <xdr:colOff>198754</xdr:colOff>
      <xdr:row>21</xdr:row>
      <xdr:rowOff>126048</xdr:rowOff>
    </xdr:from>
    <xdr:to>
      <xdr:col>7</xdr:col>
      <xdr:colOff>331836</xdr:colOff>
      <xdr:row>25</xdr:row>
      <xdr:rowOff>46312</xdr:rowOff>
    </xdr:to>
    <xdr:sp macro="" textlink="">
      <xdr:nvSpPr>
        <xdr:cNvPr id="2" name="Line Callout 1 4">
          <a:extLst>
            <a:ext uri="{FF2B5EF4-FFF2-40B4-BE49-F238E27FC236}">
              <a16:creationId xmlns:a16="http://schemas.microsoft.com/office/drawing/2014/main" id="{B66A6D19-1BF7-FB1C-F740-B77D0EB691E3}"/>
            </a:ext>
          </a:extLst>
        </xdr:cNvPr>
        <xdr:cNvSpPr/>
      </xdr:nvSpPr>
      <xdr:spPr>
        <a:xfrm>
          <a:off x="3180079" y="5040948"/>
          <a:ext cx="2504807" cy="682264"/>
        </a:xfrm>
        <a:prstGeom prst="borderCallout1">
          <a:avLst>
            <a:gd name="adj1" fmla="val 50080"/>
            <a:gd name="adj2" fmla="val -606"/>
            <a:gd name="adj3" fmla="val -392171"/>
            <a:gd name="adj4" fmla="val -1614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ysClr val="windowText" lastClr="000000"/>
              </a:solidFill>
              <a:effectLst/>
              <a:latin typeface="+mn-lt"/>
              <a:ea typeface="+mn-ea"/>
              <a:cs typeface="+mn-cs"/>
            </a:rPr>
            <a:t>The user may use a template with either "Contract Date”, “Contract Y/M"  or "Expiry Y,M,D" in the header.</a:t>
          </a:r>
          <a:endParaRPr lang="en-US">
            <a:solidFill>
              <a:sysClr val="windowText" lastClr="000000"/>
            </a:solidFill>
            <a:effectLst/>
          </a:endParaRPr>
        </a:p>
      </xdr:txBody>
    </xdr:sp>
    <xdr:clientData/>
  </xdr:twoCellAnchor>
  <xdr:twoCellAnchor editAs="oneCell">
    <xdr:from>
      <xdr:col>9</xdr:col>
      <xdr:colOff>47625</xdr:colOff>
      <xdr:row>0</xdr:row>
      <xdr:rowOff>142875</xdr:rowOff>
    </xdr:from>
    <xdr:to>
      <xdr:col>12</xdr:col>
      <xdr:colOff>57150</xdr:colOff>
      <xdr:row>0</xdr:row>
      <xdr:rowOff>419100</xdr:rowOff>
    </xdr:to>
    <xdr:pic>
      <xdr:nvPicPr>
        <xdr:cNvPr id="85342" name="Picture 3">
          <a:extLst>
            <a:ext uri="{FF2B5EF4-FFF2-40B4-BE49-F238E27FC236}">
              <a16:creationId xmlns:a16="http://schemas.microsoft.com/office/drawing/2014/main" id="{40B0746D-805B-40CF-D4A3-DCE46EE019F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00825" y="1428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63501</xdr:colOff>
      <xdr:row>21</xdr:row>
      <xdr:rowOff>50799</xdr:rowOff>
    </xdr:from>
    <xdr:to>
      <xdr:col>11</xdr:col>
      <xdr:colOff>373472</xdr:colOff>
      <xdr:row>25</xdr:row>
      <xdr:rowOff>30775</xdr:rowOff>
    </xdr:to>
    <xdr:sp macro="" textlink="">
      <xdr:nvSpPr>
        <xdr:cNvPr id="4" name="Line Callout 1 4">
          <a:extLst>
            <a:ext uri="{FF2B5EF4-FFF2-40B4-BE49-F238E27FC236}">
              <a16:creationId xmlns:a16="http://schemas.microsoft.com/office/drawing/2014/main" id="{67616447-DC23-5A3B-79D9-73043C698559}"/>
            </a:ext>
          </a:extLst>
        </xdr:cNvPr>
        <xdr:cNvSpPr/>
      </xdr:nvSpPr>
      <xdr:spPr>
        <a:xfrm>
          <a:off x="6016626" y="4965699"/>
          <a:ext cx="2110196" cy="741976"/>
        </a:xfrm>
        <a:prstGeom prst="borderCallout1">
          <a:avLst>
            <a:gd name="adj1" fmla="val -5952"/>
            <a:gd name="adj2" fmla="val 50523"/>
            <a:gd name="adj3" fmla="val -106516"/>
            <a:gd name="adj4" fmla="val -1399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For  Options, the number should be an integer between 0 and 9.</a:t>
          </a:r>
        </a:p>
      </xdr:txBody>
    </xdr:sp>
    <xdr:clientData/>
  </xdr:twoCellAnchor>
  <xdr:twoCellAnchor>
    <xdr:from>
      <xdr:col>12</xdr:col>
      <xdr:colOff>681356</xdr:colOff>
      <xdr:row>21</xdr:row>
      <xdr:rowOff>174625</xdr:rowOff>
    </xdr:from>
    <xdr:to>
      <xdr:col>17</xdr:col>
      <xdr:colOff>58690</xdr:colOff>
      <xdr:row>26</xdr:row>
      <xdr:rowOff>102359</xdr:rowOff>
    </xdr:to>
    <xdr:sp macro="" textlink="">
      <xdr:nvSpPr>
        <xdr:cNvPr id="5" name="Line Callout 1 7">
          <a:extLst>
            <a:ext uri="{FF2B5EF4-FFF2-40B4-BE49-F238E27FC236}">
              <a16:creationId xmlns:a16="http://schemas.microsoft.com/office/drawing/2014/main" id="{109041F8-CFDE-7CF1-7F8B-4782AAF72BA3}"/>
            </a:ext>
          </a:extLst>
        </xdr:cNvPr>
        <xdr:cNvSpPr/>
      </xdr:nvSpPr>
      <xdr:spPr>
        <a:xfrm>
          <a:off x="9291956" y="5089525"/>
          <a:ext cx="2644409" cy="880234"/>
        </a:xfrm>
        <a:prstGeom prst="borderCallout1">
          <a:avLst>
            <a:gd name="adj1" fmla="val -9534"/>
            <a:gd name="adj2" fmla="val 51000"/>
            <a:gd name="adj3" fmla="val -102118"/>
            <a:gd name="adj4" fmla="val 5084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ysClr val="windowText" lastClr="000000"/>
              </a:solidFill>
              <a:effectLst/>
              <a:latin typeface="+mn-lt"/>
              <a:ea typeface="+mn-ea"/>
              <a:cs typeface="+mn-cs"/>
            </a:rPr>
            <a:t>A non-negative number (zero allowed) should be entered in the last four columns. No blanks are allowed.</a:t>
          </a:r>
          <a:endParaRPr lang="en-GB">
            <a:solidFill>
              <a:sysClr val="windowText" lastClr="000000"/>
            </a:solidFill>
            <a:effectLst/>
          </a:endParaRPr>
        </a:p>
      </xdr:txBody>
    </xdr:sp>
    <xdr:clientData/>
  </xdr:twoCellAnchor>
  <xdr:twoCellAnchor>
    <xdr:from>
      <xdr:col>1</xdr:col>
      <xdr:colOff>149225</xdr:colOff>
      <xdr:row>23</xdr:row>
      <xdr:rowOff>174625</xdr:rowOff>
    </xdr:from>
    <xdr:to>
      <xdr:col>3</xdr:col>
      <xdr:colOff>491252</xdr:colOff>
      <xdr:row>26</xdr:row>
      <xdr:rowOff>102365</xdr:rowOff>
    </xdr:to>
    <xdr:sp macro="" textlink="">
      <xdr:nvSpPr>
        <xdr:cNvPr id="6" name="Line Callout 1 5">
          <a:extLst>
            <a:ext uri="{FF2B5EF4-FFF2-40B4-BE49-F238E27FC236}">
              <a16:creationId xmlns:a16="http://schemas.microsoft.com/office/drawing/2014/main" id="{6EB83672-9FFD-C23A-E412-4B3F3299D74D}"/>
            </a:ext>
          </a:extLst>
        </xdr:cNvPr>
        <xdr:cNvSpPr/>
      </xdr:nvSpPr>
      <xdr:spPr>
        <a:xfrm>
          <a:off x="1330325" y="5470525"/>
          <a:ext cx="1542177" cy="499240"/>
        </a:xfrm>
        <a:prstGeom prst="borderCallout1">
          <a:avLst>
            <a:gd name="adj1" fmla="val -11147"/>
            <a:gd name="adj2" fmla="val 62470"/>
            <a:gd name="adj3" fmla="val -206726"/>
            <a:gd name="adj4" fmla="val -3213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Eurex product ID (three or four characters)</a:t>
          </a:r>
        </a:p>
        <a:p>
          <a:endParaRPr lang="en-US" sz="1100">
            <a:solidFill>
              <a:schemeClr val="tx1"/>
            </a:solidFill>
          </a:endParaRPr>
        </a:p>
      </xdr:txBody>
    </xdr:sp>
    <xdr:clientData/>
  </xdr:twoCellAnchor>
  <xdr:twoCellAnchor>
    <xdr:from>
      <xdr:col>18</xdr:col>
      <xdr:colOff>66676</xdr:colOff>
      <xdr:row>11</xdr:row>
      <xdr:rowOff>159385</xdr:rowOff>
    </xdr:from>
    <xdr:to>
      <xdr:col>22</xdr:col>
      <xdr:colOff>130205</xdr:colOff>
      <xdr:row>19</xdr:row>
      <xdr:rowOff>140350</xdr:rowOff>
    </xdr:to>
    <xdr:sp macro="" textlink="">
      <xdr:nvSpPr>
        <xdr:cNvPr id="7" name="Line Callout 1 8">
          <a:extLst>
            <a:ext uri="{FF2B5EF4-FFF2-40B4-BE49-F238E27FC236}">
              <a16:creationId xmlns:a16="http://schemas.microsoft.com/office/drawing/2014/main" id="{B465BDCD-1003-035B-0961-D905AFCE2278}"/>
            </a:ext>
          </a:extLst>
        </xdr:cNvPr>
        <xdr:cNvSpPr/>
      </xdr:nvSpPr>
      <xdr:spPr>
        <a:xfrm>
          <a:off x="10963276" y="3169285"/>
          <a:ext cx="2463829" cy="1504965"/>
        </a:xfrm>
        <a:prstGeom prst="borderCallout1">
          <a:avLst>
            <a:gd name="adj1" fmla="val -11147"/>
            <a:gd name="adj2" fmla="val 62470"/>
            <a:gd name="adj3" fmla="val -123189"/>
            <a:gd name="adj4" fmla="val -2804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nSpc>
              <a:spcPts val="1200"/>
            </a:lnSpc>
          </a:pPr>
          <a:r>
            <a:rPr lang="en-US" sz="1100">
              <a:solidFill>
                <a:schemeClr val="tx1"/>
              </a:solidFill>
            </a:rPr>
            <a:t>Positions having the same Product Id, Expiry date, </a:t>
          </a:r>
          <a:r>
            <a:rPr lang="en-US" sz="1100" baseline="0">
              <a:solidFill>
                <a:schemeClr val="tx1"/>
              </a:solidFill>
            </a:rPr>
            <a:t> V</a:t>
          </a:r>
          <a:r>
            <a:rPr lang="en-US" sz="1100">
              <a:solidFill>
                <a:schemeClr val="tx1"/>
              </a:solidFill>
            </a:rPr>
            <a:t>ersion Number, Product Settlement  Type, Call Put Flag, Exercise Price and Exercise Style Flag  should be aggregated in one line,</a:t>
          </a:r>
          <a:r>
            <a:rPr lang="en-US" sz="1100" baseline="0">
              <a:solidFill>
                <a:schemeClr val="tx1"/>
              </a:solidFill>
            </a:rPr>
            <a:t>  </a:t>
          </a:r>
          <a:r>
            <a:rPr lang="en-US" sz="1100">
              <a:solidFill>
                <a:schemeClr val="tx1"/>
              </a:solidFill>
            </a:rPr>
            <a:t>otherwise an error message will be returned when uploading the file to the Margin Calculator.</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9</xdr:col>
      <xdr:colOff>47625</xdr:colOff>
      <xdr:row>0</xdr:row>
      <xdr:rowOff>142875</xdr:rowOff>
    </xdr:from>
    <xdr:to>
      <xdr:col>12</xdr:col>
      <xdr:colOff>57150</xdr:colOff>
      <xdr:row>0</xdr:row>
      <xdr:rowOff>419100</xdr:rowOff>
    </xdr:to>
    <xdr:pic>
      <xdr:nvPicPr>
        <xdr:cNvPr id="13021" name="Picture 3">
          <a:extLst>
            <a:ext uri="{FF2B5EF4-FFF2-40B4-BE49-F238E27FC236}">
              <a16:creationId xmlns:a16="http://schemas.microsoft.com/office/drawing/2014/main" id="{4EA35EF0-3E79-37C8-DA1F-694EBA4B05D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76900" y="1428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295275</xdr:colOff>
      <xdr:row>3</xdr:row>
      <xdr:rowOff>104775</xdr:rowOff>
    </xdr:to>
    <xdr:pic>
      <xdr:nvPicPr>
        <xdr:cNvPr id="79699" name="Picture 1">
          <a:extLst>
            <a:ext uri="{FF2B5EF4-FFF2-40B4-BE49-F238E27FC236}">
              <a16:creationId xmlns:a16="http://schemas.microsoft.com/office/drawing/2014/main" id="{97F3A86B-D317-55F0-03ED-E64202D05D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312420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542925</xdr:colOff>
      <xdr:row>0</xdr:row>
      <xdr:rowOff>76200</xdr:rowOff>
    </xdr:from>
    <xdr:to>
      <xdr:col>7</xdr:col>
      <xdr:colOff>47625</xdr:colOff>
      <xdr:row>2</xdr:row>
      <xdr:rowOff>180975</xdr:rowOff>
    </xdr:to>
    <xdr:pic>
      <xdr:nvPicPr>
        <xdr:cNvPr id="79700" name="Picture 2">
          <a:extLst>
            <a:ext uri="{FF2B5EF4-FFF2-40B4-BE49-F238E27FC236}">
              <a16:creationId xmlns:a16="http://schemas.microsoft.com/office/drawing/2014/main" id="{AB7096EF-F10B-0705-56BC-7393AF782C6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86275" y="76200"/>
          <a:ext cx="2057400" cy="485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440057</xdr:colOff>
      <xdr:row>1</xdr:row>
      <xdr:rowOff>43180</xdr:rowOff>
    </xdr:from>
    <xdr:to>
      <xdr:col>10</xdr:col>
      <xdr:colOff>0</xdr:colOff>
      <xdr:row>3</xdr:row>
      <xdr:rowOff>104776</xdr:rowOff>
    </xdr:to>
    <xdr:sp macro="" textlink="">
      <xdr:nvSpPr>
        <xdr:cNvPr id="5" name="Line Callout 1 4">
          <a:extLst>
            <a:ext uri="{FF2B5EF4-FFF2-40B4-BE49-F238E27FC236}">
              <a16:creationId xmlns:a16="http://schemas.microsoft.com/office/drawing/2014/main" id="{D8482C8D-52AA-5F7D-7ADF-35D47CBEDAC5}"/>
            </a:ext>
          </a:extLst>
        </xdr:cNvPr>
        <xdr:cNvSpPr/>
      </xdr:nvSpPr>
      <xdr:spPr>
        <a:xfrm>
          <a:off x="6278882" y="233680"/>
          <a:ext cx="4217668" cy="442596"/>
        </a:xfrm>
        <a:prstGeom prst="borderCallout1">
          <a:avLst>
            <a:gd name="adj1" fmla="val 30324"/>
            <a:gd name="adj2" fmla="val -1515"/>
            <a:gd name="adj3" fmla="val -23139"/>
            <a:gd name="adj4" fmla="val -1337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200"/>
            </a:lnSpc>
          </a:pPr>
          <a:r>
            <a:rPr lang="en-GB" sz="1100">
              <a:solidFill>
                <a:sysClr val="windowText" lastClr="000000"/>
              </a:solidFill>
            </a:rPr>
            <a:t>Use this button to export the template to</a:t>
          </a:r>
          <a:r>
            <a:rPr lang="en-GB" sz="1100" baseline="0">
              <a:solidFill>
                <a:sysClr val="windowText" lastClr="000000"/>
              </a:solidFill>
            </a:rPr>
            <a:t> the csv file. </a:t>
          </a:r>
        </a:p>
        <a:p>
          <a:pPr algn="l">
            <a:lnSpc>
              <a:spcPts val="1200"/>
            </a:lnSpc>
          </a:pPr>
          <a:r>
            <a:rPr lang="en-GB" sz="1100" baseline="0">
              <a:solidFill>
                <a:sysClr val="windowText" lastClr="000000"/>
              </a:solidFill>
            </a:rPr>
            <a:t>Only files in the csv format are accepted by the Margin Calculator</a:t>
          </a:r>
          <a:r>
            <a:rPr lang="en-GB" sz="1100" baseline="0">
              <a:solidFill>
                <a:schemeClr val="lt1"/>
              </a:solidFill>
            </a:rPr>
            <a:t>..</a:t>
          </a:r>
          <a:endParaRPr lang="en-GB" sz="1100"/>
        </a:p>
      </xdr:txBody>
    </xdr:sp>
    <xdr:clientData/>
  </xdr:twoCellAnchor>
  <xdr:twoCellAnchor>
    <xdr:from>
      <xdr:col>5</xdr:col>
      <xdr:colOff>511175</xdr:colOff>
      <xdr:row>8</xdr:row>
      <xdr:rowOff>76199</xdr:rowOff>
    </xdr:from>
    <xdr:to>
      <xdr:col>10</xdr:col>
      <xdr:colOff>0</xdr:colOff>
      <xdr:row>12</xdr:row>
      <xdr:rowOff>47624</xdr:rowOff>
    </xdr:to>
    <xdr:sp macro="" textlink="">
      <xdr:nvSpPr>
        <xdr:cNvPr id="6" name="Line Callout 1 5">
          <a:extLst>
            <a:ext uri="{FF2B5EF4-FFF2-40B4-BE49-F238E27FC236}">
              <a16:creationId xmlns:a16="http://schemas.microsoft.com/office/drawing/2014/main" id="{B8F6A290-D161-FEAA-5B9D-C31AF86C1862}"/>
            </a:ext>
          </a:extLst>
        </xdr:cNvPr>
        <xdr:cNvSpPr/>
      </xdr:nvSpPr>
      <xdr:spPr>
        <a:xfrm>
          <a:off x="5568950" y="1733549"/>
          <a:ext cx="3413125" cy="733425"/>
        </a:xfrm>
        <a:prstGeom prst="borderCallout1">
          <a:avLst>
            <a:gd name="adj1" fmla="val 30324"/>
            <a:gd name="adj2" fmla="val -1515"/>
            <a:gd name="adj3" fmla="val -23139"/>
            <a:gd name="adj4" fmla="val -1337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The</a:t>
          </a:r>
          <a:r>
            <a:rPr lang="en-GB" sz="1100" baseline="0">
              <a:solidFill>
                <a:sysClr val="windowText" lastClr="000000"/>
              </a:solidFill>
            </a:rPr>
            <a:t> values are </a:t>
          </a:r>
          <a:r>
            <a:rPr lang="en-GB" sz="1100">
              <a:solidFill>
                <a:sysClr val="windowText" lastClr="000000"/>
              </a:solidFill>
            </a:rPr>
            <a:t>the first order interest rate sensitivities  for a certain set of maturity buckets (delta ladder)  and</a:t>
          </a:r>
          <a:r>
            <a:rPr lang="en-GB" sz="1100" baseline="0">
              <a:solidFill>
                <a:sysClr val="windowText" lastClr="000000"/>
              </a:solidFill>
            </a:rPr>
            <a:t> </a:t>
          </a:r>
          <a:r>
            <a:rPr lang="en-GB" sz="1100">
              <a:solidFill>
                <a:sysClr val="windowText" lastClr="000000"/>
              </a:solidFill>
            </a:rPr>
            <a:t>curve index tenors </a:t>
          </a:r>
          <a:r>
            <a:rPr lang="en-GB" sz="1100" baseline="0">
              <a:solidFill>
                <a:schemeClr val="lt1"/>
              </a:solidFill>
            </a:rPr>
            <a:t>..</a:t>
          </a:r>
          <a:endParaRPr lang="en-GB" sz="1100"/>
        </a:p>
      </xdr:txBody>
    </xdr:sp>
    <xdr:clientData/>
  </xdr:twoCellAnchor>
  <xdr:twoCellAnchor>
    <xdr:from>
      <xdr:col>7</xdr:col>
      <xdr:colOff>347980</xdr:colOff>
      <xdr:row>35</xdr:row>
      <xdr:rowOff>152400</xdr:rowOff>
    </xdr:from>
    <xdr:to>
      <xdr:col>9</xdr:col>
      <xdr:colOff>485775</xdr:colOff>
      <xdr:row>38</xdr:row>
      <xdr:rowOff>66675</xdr:rowOff>
    </xdr:to>
    <xdr:sp macro="" textlink="">
      <xdr:nvSpPr>
        <xdr:cNvPr id="7" name="Line Callout 1 6">
          <a:extLst>
            <a:ext uri="{FF2B5EF4-FFF2-40B4-BE49-F238E27FC236}">
              <a16:creationId xmlns:a16="http://schemas.microsoft.com/office/drawing/2014/main" id="{5B355604-E62C-CE09-C292-B1771003D280}"/>
            </a:ext>
          </a:extLst>
        </xdr:cNvPr>
        <xdr:cNvSpPr/>
      </xdr:nvSpPr>
      <xdr:spPr>
        <a:xfrm>
          <a:off x="6844030" y="6953250"/>
          <a:ext cx="1795145" cy="485775"/>
        </a:xfrm>
        <a:prstGeom prst="borderCallout1">
          <a:avLst>
            <a:gd name="adj1" fmla="val 30324"/>
            <a:gd name="adj2" fmla="val -1515"/>
            <a:gd name="adj3" fmla="val 261644"/>
            <a:gd name="adj4" fmla="val 533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No entry is possible for those fields.</a:t>
          </a:r>
          <a:endParaRPr lang="en-GB" sz="1100"/>
        </a:p>
      </xdr:txBody>
    </xdr:sp>
    <xdr:clientData/>
  </xdr:twoCellAnchor>
  <xdr:twoCellAnchor>
    <xdr:from>
      <xdr:col>10</xdr:col>
      <xdr:colOff>161925</xdr:colOff>
      <xdr:row>36</xdr:row>
      <xdr:rowOff>104775</xdr:rowOff>
    </xdr:from>
    <xdr:to>
      <xdr:col>12</xdr:col>
      <xdr:colOff>585470</xdr:colOff>
      <xdr:row>37</xdr:row>
      <xdr:rowOff>171718</xdr:rowOff>
    </xdr:to>
    <xdr:sp macro="" textlink="">
      <xdr:nvSpPr>
        <xdr:cNvPr id="8" name="Line Callout 1 6">
          <a:extLst>
            <a:ext uri="{FF2B5EF4-FFF2-40B4-BE49-F238E27FC236}">
              <a16:creationId xmlns:a16="http://schemas.microsoft.com/office/drawing/2014/main" id="{28A27879-D573-421B-3D17-BF965DCA0722}"/>
            </a:ext>
          </a:extLst>
        </xdr:cNvPr>
        <xdr:cNvSpPr/>
      </xdr:nvSpPr>
      <xdr:spPr>
        <a:xfrm>
          <a:off x="9144000" y="7096125"/>
          <a:ext cx="2271395" cy="257443"/>
        </a:xfrm>
        <a:prstGeom prst="borderCallout1">
          <a:avLst>
            <a:gd name="adj1" fmla="val 30324"/>
            <a:gd name="adj2" fmla="val -1515"/>
            <a:gd name="adj3" fmla="val 261644"/>
            <a:gd name="adj4" fmla="val 533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No entry is possible for those fields.</a:t>
          </a:r>
          <a:endParaRPr lang="en-GB" sz="1100"/>
        </a:p>
      </xdr:txBody>
    </xdr:sp>
    <xdr:clientData/>
  </xdr:twoCellAnchor>
</xdr:wsDr>
</file>

<file path=xl/drawings/drawing19.xml><?xml version="1.0" encoding="utf-8"?>
<xdr:wsDr xmlns:xdr="http://schemas.openxmlformats.org/drawingml/2006/spreadsheetDrawing" xmlns:a="http://schemas.openxmlformats.org/drawingml/2006/main">
  <xdr:twoCellAnchor editAs="oneCell">
    <xdr:from>
      <xdr:col>6</xdr:col>
      <xdr:colOff>19050</xdr:colOff>
      <xdr:row>0</xdr:row>
      <xdr:rowOff>133350</xdr:rowOff>
    </xdr:from>
    <xdr:to>
      <xdr:col>8</xdr:col>
      <xdr:colOff>257175</xdr:colOff>
      <xdr:row>0</xdr:row>
      <xdr:rowOff>409575</xdr:rowOff>
    </xdr:to>
    <xdr:pic>
      <xdr:nvPicPr>
        <xdr:cNvPr id="62607" name="Picture 1">
          <a:extLst>
            <a:ext uri="{FF2B5EF4-FFF2-40B4-BE49-F238E27FC236}">
              <a16:creationId xmlns:a16="http://schemas.microsoft.com/office/drawing/2014/main" id="{82B126B4-B3D6-276D-0B6E-CC35E8D5912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72200" y="133350"/>
          <a:ext cx="20859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5</xdr:col>
      <xdr:colOff>57150</xdr:colOff>
      <xdr:row>0</xdr:row>
      <xdr:rowOff>133350</xdr:rowOff>
    </xdr:from>
    <xdr:to>
      <xdr:col>7</xdr:col>
      <xdr:colOff>428625</xdr:colOff>
      <xdr:row>0</xdr:row>
      <xdr:rowOff>409575</xdr:rowOff>
    </xdr:to>
    <xdr:pic>
      <xdr:nvPicPr>
        <xdr:cNvPr id="61650" name="Picture 1">
          <a:extLst>
            <a:ext uri="{FF2B5EF4-FFF2-40B4-BE49-F238E27FC236}">
              <a16:creationId xmlns:a16="http://schemas.microsoft.com/office/drawing/2014/main" id="{E70132EC-3033-2BE6-0A09-331B4A224FF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43400" y="133350"/>
          <a:ext cx="20859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514350</xdr:colOff>
      <xdr:row>13</xdr:row>
      <xdr:rowOff>76200</xdr:rowOff>
    </xdr:from>
    <xdr:to>
      <xdr:col>7</xdr:col>
      <xdr:colOff>518195</xdr:colOff>
      <xdr:row>16</xdr:row>
      <xdr:rowOff>173748</xdr:rowOff>
    </xdr:to>
    <xdr:sp macro="" textlink="">
      <xdr:nvSpPr>
        <xdr:cNvPr id="3" name="Line Callout 1 3">
          <a:extLst>
            <a:ext uri="{FF2B5EF4-FFF2-40B4-BE49-F238E27FC236}">
              <a16:creationId xmlns:a16="http://schemas.microsoft.com/office/drawing/2014/main" id="{66ABB2AD-3628-5CD5-E2E7-37563FA23A52}"/>
            </a:ext>
          </a:extLst>
        </xdr:cNvPr>
        <xdr:cNvSpPr/>
      </xdr:nvSpPr>
      <xdr:spPr>
        <a:xfrm>
          <a:off x="4067175" y="3181350"/>
          <a:ext cx="2451770" cy="669048"/>
        </a:xfrm>
        <a:prstGeom prst="borderCallout1">
          <a:avLst>
            <a:gd name="adj1" fmla="val -11147"/>
            <a:gd name="adj2" fmla="val 62470"/>
            <a:gd name="adj3" fmla="val -144949"/>
            <a:gd name="adj4" fmla="val 6251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Fixing date should be in future.</a:t>
          </a:r>
        </a:p>
      </xdr:txBody>
    </xdr:sp>
    <xdr:clientData/>
  </xdr:twoCellAnchor>
  <xdr:twoCellAnchor>
    <xdr:from>
      <xdr:col>7</xdr:col>
      <xdr:colOff>1104900</xdr:colOff>
      <xdr:row>13</xdr:row>
      <xdr:rowOff>38100</xdr:rowOff>
    </xdr:from>
    <xdr:to>
      <xdr:col>10</xdr:col>
      <xdr:colOff>556295</xdr:colOff>
      <xdr:row>16</xdr:row>
      <xdr:rowOff>135648</xdr:rowOff>
    </xdr:to>
    <xdr:sp macro="" textlink="">
      <xdr:nvSpPr>
        <xdr:cNvPr id="4" name="Line Callout 1 3">
          <a:extLst>
            <a:ext uri="{FF2B5EF4-FFF2-40B4-BE49-F238E27FC236}">
              <a16:creationId xmlns:a16="http://schemas.microsoft.com/office/drawing/2014/main" id="{6CA4C377-C6A0-FED4-6BF8-FA38172A47DB}"/>
            </a:ext>
          </a:extLst>
        </xdr:cNvPr>
        <xdr:cNvSpPr/>
      </xdr:nvSpPr>
      <xdr:spPr>
        <a:xfrm>
          <a:off x="7105650" y="3143250"/>
          <a:ext cx="2451770" cy="669048"/>
        </a:xfrm>
        <a:prstGeom prst="borderCallout1">
          <a:avLst>
            <a:gd name="adj1" fmla="val -11147"/>
            <a:gd name="adj2" fmla="val 62470"/>
            <a:gd name="adj3" fmla="val -132136"/>
            <a:gd name="adj4" fmla="val -392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Settlement</a:t>
          </a:r>
          <a:r>
            <a:rPr lang="en-US" sz="1100" baseline="0">
              <a:solidFill>
                <a:schemeClr val="tx1"/>
              </a:solidFill>
            </a:rPr>
            <a:t> Date should be after Fixing date.</a:t>
          </a:r>
          <a:endParaRPr lang="en-US" sz="1100">
            <a:solidFill>
              <a:schemeClr val="tx1"/>
            </a:solidFill>
          </a:endParaRPr>
        </a:p>
      </xdr:txBody>
    </xdr:sp>
    <xdr:clientData/>
  </xdr:twoCellAnchor>
  <xdr:twoCellAnchor>
    <xdr:from>
      <xdr:col>1</xdr:col>
      <xdr:colOff>342900</xdr:colOff>
      <xdr:row>13</xdr:row>
      <xdr:rowOff>133350</xdr:rowOff>
    </xdr:from>
    <xdr:to>
      <xdr:col>4</xdr:col>
      <xdr:colOff>451520</xdr:colOff>
      <xdr:row>17</xdr:row>
      <xdr:rowOff>40398</xdr:rowOff>
    </xdr:to>
    <xdr:sp macro="" textlink="">
      <xdr:nvSpPr>
        <xdr:cNvPr id="5" name="Line Callout 1 3">
          <a:extLst>
            <a:ext uri="{FF2B5EF4-FFF2-40B4-BE49-F238E27FC236}">
              <a16:creationId xmlns:a16="http://schemas.microsoft.com/office/drawing/2014/main" id="{5A522806-5CDA-A692-F6FE-DCB22E069B2E}"/>
            </a:ext>
          </a:extLst>
        </xdr:cNvPr>
        <xdr:cNvSpPr/>
      </xdr:nvSpPr>
      <xdr:spPr>
        <a:xfrm>
          <a:off x="1552575" y="3238500"/>
          <a:ext cx="2451770" cy="669048"/>
        </a:xfrm>
        <a:prstGeom prst="borderCallout1">
          <a:avLst>
            <a:gd name="adj1" fmla="val -11147"/>
            <a:gd name="adj2" fmla="val 62470"/>
            <a:gd name="adj3" fmla="val -157762"/>
            <a:gd name="adj4" fmla="val 8543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Leg CCY is always USD since primary currency of all NDFs is always USD.</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00B050"/>
  </sheetPr>
  <dimension ref="B8:U39"/>
  <sheetViews>
    <sheetView showGridLines="0" topLeftCell="A3" zoomScale="90" zoomScaleNormal="90" workbookViewId="0">
      <selection activeCell="B20" sqref="B20:B31"/>
    </sheetView>
  </sheetViews>
  <sheetFormatPr defaultColWidth="11.42578125" defaultRowHeight="15" x14ac:dyDescent="0.25"/>
  <cols>
    <col min="1" max="1" width="4.28515625" style="6" customWidth="1"/>
    <col min="2" max="2" width="22.28515625" style="6" customWidth="1"/>
    <col min="3" max="16384" width="11.42578125" style="6"/>
  </cols>
  <sheetData>
    <row r="8" spans="2:21" ht="72" customHeight="1" x14ac:dyDescent="0.25">
      <c r="B8" s="139" t="s">
        <v>331</v>
      </c>
      <c r="C8" s="140"/>
      <c r="D8" s="140"/>
      <c r="E8" s="140"/>
      <c r="F8" s="140"/>
      <c r="G8" s="140"/>
      <c r="H8" s="140"/>
      <c r="I8" s="140"/>
      <c r="J8" s="140"/>
      <c r="K8" s="140"/>
      <c r="L8" s="140"/>
      <c r="M8" s="140"/>
      <c r="N8" s="140"/>
      <c r="O8" s="140"/>
      <c r="P8" s="140"/>
      <c r="Q8" s="140"/>
      <c r="R8" s="140"/>
      <c r="S8" s="140"/>
      <c r="T8" s="140"/>
      <c r="U8" s="140"/>
    </row>
    <row r="9" spans="2:21" ht="76.5" customHeight="1" x14ac:dyDescent="0.25">
      <c r="B9" s="141" t="s">
        <v>116</v>
      </c>
      <c r="C9" s="140"/>
      <c r="D9" s="140"/>
      <c r="E9" s="140"/>
      <c r="F9" s="140"/>
      <c r="G9" s="140"/>
      <c r="H9" s="140"/>
      <c r="I9" s="140"/>
      <c r="J9" s="140"/>
      <c r="K9" s="140"/>
      <c r="L9" s="140"/>
      <c r="M9" s="140"/>
      <c r="N9" s="140"/>
      <c r="O9" s="140"/>
      <c r="P9" s="140"/>
      <c r="Q9" s="140"/>
      <c r="R9" s="140"/>
      <c r="S9" s="140"/>
      <c r="T9" s="140"/>
      <c r="U9" s="140"/>
    </row>
    <row r="10" spans="2:21" ht="57" customHeight="1" x14ac:dyDescent="0.25">
      <c r="B10" s="142" t="s">
        <v>49</v>
      </c>
      <c r="C10" s="140"/>
      <c r="D10" s="140"/>
      <c r="E10" s="140"/>
      <c r="F10" s="140"/>
      <c r="G10" s="140"/>
      <c r="H10" s="140"/>
      <c r="I10" s="140"/>
      <c r="J10" s="140"/>
      <c r="K10" s="140"/>
      <c r="L10" s="140"/>
      <c r="M10" s="140"/>
      <c r="N10" s="140"/>
      <c r="O10" s="140"/>
      <c r="P10" s="140"/>
      <c r="Q10" s="140"/>
      <c r="R10" s="140"/>
      <c r="S10" s="140"/>
      <c r="T10" s="140"/>
      <c r="U10" s="140"/>
    </row>
    <row r="11" spans="2:21" ht="30.75" customHeight="1" x14ac:dyDescent="0.25"/>
    <row r="12" spans="2:21" x14ac:dyDescent="0.25">
      <c r="B12" s="145" t="s">
        <v>452</v>
      </c>
      <c r="C12" s="146"/>
      <c r="D12" s="146"/>
      <c r="E12" s="146"/>
      <c r="F12" s="146"/>
      <c r="G12" s="146"/>
      <c r="H12" s="146"/>
      <c r="I12" s="146"/>
      <c r="J12" s="146"/>
      <c r="K12" s="146"/>
      <c r="L12" s="146"/>
      <c r="M12" s="146"/>
      <c r="N12" s="146"/>
      <c r="O12" s="146"/>
      <c r="P12" s="146"/>
      <c r="Q12" s="146"/>
      <c r="R12" s="146"/>
      <c r="S12" s="146"/>
      <c r="T12" s="146"/>
    </row>
    <row r="13" spans="2:21" ht="36.75" customHeight="1" x14ac:dyDescent="0.25"/>
    <row r="14" spans="2:21" x14ac:dyDescent="0.25">
      <c r="B14" s="6" t="s">
        <v>332</v>
      </c>
    </row>
    <row r="15" spans="2:21" x14ac:dyDescent="0.25">
      <c r="B15" s="6" t="s">
        <v>333</v>
      </c>
    </row>
    <row r="16" spans="2:21" x14ac:dyDescent="0.25">
      <c r="B16" s="6" t="s">
        <v>180</v>
      </c>
    </row>
    <row r="17" spans="2:19" ht="30" customHeight="1" x14ac:dyDescent="0.25">
      <c r="B17" s="143" t="s">
        <v>416</v>
      </c>
      <c r="C17" s="144"/>
      <c r="D17" s="144"/>
      <c r="E17" s="144"/>
      <c r="F17" s="144"/>
      <c r="G17" s="144"/>
      <c r="H17" s="144"/>
      <c r="I17" s="144"/>
      <c r="J17" s="144"/>
      <c r="K17" s="144"/>
      <c r="L17" s="144"/>
      <c r="M17" s="144"/>
      <c r="N17" s="144"/>
      <c r="O17" s="144"/>
      <c r="P17" s="144"/>
      <c r="Q17" s="144"/>
      <c r="R17" s="144"/>
      <c r="S17" s="144"/>
    </row>
    <row r="19" spans="2:19" ht="15.75" x14ac:dyDescent="0.25">
      <c r="B19" s="73" t="s">
        <v>316</v>
      </c>
    </row>
    <row r="20" spans="2:19" x14ac:dyDescent="0.25">
      <c r="B20" s="90" t="s">
        <v>288</v>
      </c>
    </row>
    <row r="21" spans="2:19" x14ac:dyDescent="0.25">
      <c r="B21" s="90" t="s">
        <v>289</v>
      </c>
    </row>
    <row r="22" spans="2:19" x14ac:dyDescent="0.25">
      <c r="B22" s="130" t="s">
        <v>30</v>
      </c>
    </row>
    <row r="23" spans="2:19" x14ac:dyDescent="0.25">
      <c r="B23" s="90" t="s">
        <v>290</v>
      </c>
    </row>
    <row r="24" spans="2:19" x14ac:dyDescent="0.25">
      <c r="B24" s="90" t="s">
        <v>291</v>
      </c>
    </row>
    <row r="25" spans="2:19" x14ac:dyDescent="0.25">
      <c r="B25" s="130" t="s">
        <v>3</v>
      </c>
    </row>
    <row r="26" spans="2:19" x14ac:dyDescent="0.25">
      <c r="B26" s="130" t="s">
        <v>1</v>
      </c>
    </row>
    <row r="27" spans="2:19" x14ac:dyDescent="0.25">
      <c r="B27" s="130" t="s">
        <v>0</v>
      </c>
    </row>
    <row r="28" spans="2:19" x14ac:dyDescent="0.25">
      <c r="B28" s="90" t="s">
        <v>31</v>
      </c>
    </row>
    <row r="29" spans="2:19" x14ac:dyDescent="0.25">
      <c r="B29" s="130" t="s">
        <v>243</v>
      </c>
    </row>
    <row r="30" spans="2:19" x14ac:dyDescent="0.25">
      <c r="B30" s="130" t="s">
        <v>436</v>
      </c>
    </row>
    <row r="31" spans="2:19" x14ac:dyDescent="0.25">
      <c r="B31" s="90" t="s">
        <v>292</v>
      </c>
    </row>
    <row r="32" spans="2:19" x14ac:dyDescent="0.25">
      <c r="B32" s="100" t="s">
        <v>293</v>
      </c>
    </row>
    <row r="33" spans="2:2" x14ac:dyDescent="0.25">
      <c r="B33" s="100" t="s">
        <v>412</v>
      </c>
    </row>
    <row r="34" spans="2:2" x14ac:dyDescent="0.25">
      <c r="B34" s="100" t="s">
        <v>294</v>
      </c>
    </row>
    <row r="35" spans="2:2" x14ac:dyDescent="0.25">
      <c r="B35" s="100" t="s">
        <v>409</v>
      </c>
    </row>
    <row r="36" spans="2:2" x14ac:dyDescent="0.25">
      <c r="B36" s="100" t="s">
        <v>295</v>
      </c>
    </row>
    <row r="37" spans="2:2" x14ac:dyDescent="0.25">
      <c r="B37" s="100" t="s">
        <v>296</v>
      </c>
    </row>
    <row r="38" spans="2:2" x14ac:dyDescent="0.25">
      <c r="B38" s="62" t="s">
        <v>361</v>
      </c>
    </row>
    <row r="39" spans="2:2" x14ac:dyDescent="0.25">
      <c r="B39" s="96" t="s">
        <v>360</v>
      </c>
    </row>
  </sheetData>
  <mergeCells count="5">
    <mergeCell ref="B8:U8"/>
    <mergeCell ref="B9:U9"/>
    <mergeCell ref="B10:U10"/>
    <mergeCell ref="B17:S17"/>
    <mergeCell ref="B12:T12"/>
  </mergeCells>
  <hyperlinks>
    <hyperlink ref="B21" location="'OTC portfolio template'!R1C1" display="OTC portfolio template" xr:uid="{00000000-0004-0000-0000-000000000000}"/>
    <hyperlink ref="B22" location="IRS!R1C1" display="IRS" xr:uid="{00000000-0004-0000-0000-000001000000}"/>
    <hyperlink ref="B23" location="'Trades with stubs'!R1C1" display="Trades with stubs" xr:uid="{00000000-0004-0000-0000-000002000000}"/>
    <hyperlink ref="B24" location="'ZC Swap'!R1C1" display="ZC Swap" xr:uid="{00000000-0004-0000-0000-000003000000}"/>
    <hyperlink ref="B25" location="FRA!R1C1" display="FRA" xr:uid="{00000000-0004-0000-0000-000004000000}"/>
    <hyperlink ref="B26" location="VNS!R1C1" display="VNS" xr:uid="{00000000-0004-0000-0000-000005000000}"/>
    <hyperlink ref="B27" location="OIS!R1C1" display="OIS" xr:uid="{00000000-0004-0000-0000-000006000000}"/>
    <hyperlink ref="B28" location="'Basis swap'!R1C1" display="Basis swap" xr:uid="{00000000-0004-0000-0000-000007000000}"/>
    <hyperlink ref="B29" location="ZCIS!R1C1" display="ZCIS" xr:uid="{00000000-0004-0000-0000-000008000000}"/>
    <hyperlink ref="B31" location="'Trade Insert'!R1C1" display="Trade Insert" xr:uid="{00000000-0004-0000-0000-000009000000}"/>
    <hyperlink ref="B32" location="'FI_EQ Template'!R1C1" display="FI_EQ Template" xr:uid="{00000000-0004-0000-0000-00000A000000}"/>
    <hyperlink ref="B34" location="'Swap Futures'!R1C1" display="Swap Futures" xr:uid="{00000000-0004-0000-0000-00000B000000}"/>
    <hyperlink ref="B36" location="'Listed product portfolio'!R1C1" display="Listed product portfolio" xr:uid="{00000000-0004-0000-0000-00000C000000}"/>
    <hyperlink ref="B37" location="'OTC Sensitivities Template'!R1C1" display="OTC Sensitivities Template" xr:uid="{00000000-0004-0000-0000-00000D000000}"/>
    <hyperlink ref="B20" location="'Change log'!R1C1" display="Change log" xr:uid="{00000000-0004-0000-0000-00000E000000}"/>
    <hyperlink ref="B38" location="'FXNDF Template'!A1" display="FXNDF Template" xr:uid="{00000000-0004-0000-0000-00000F000000}"/>
    <hyperlink ref="B39" location="FXNDF!A1" display="FXNDF" xr:uid="{00000000-0004-0000-0000-000010000000}"/>
    <hyperlink ref="B35" location="'(Flex) Options'!A1" display="(Flex) Options" xr:uid="{00000000-0004-0000-0000-000011000000}"/>
    <hyperlink ref="B33" location="'(Flex) Futures'!A1" display="(Flex) Futures" xr:uid="{00000000-0004-0000-0000-000012000000}"/>
    <hyperlink ref="B30" location="SCIS!A1" display="SCIS" xr:uid="{5B8D705C-0843-468D-B77E-702475FB0660}"/>
  </hyperlinks>
  <pageMargins left="0.7" right="0.7" top="0.75" bottom="0.75" header="0.3" footer="0.3"/>
  <pageSetup paperSize="9" orientation="portrait" r:id="rId1"/>
  <headerFooter>
    <oddFooter>&amp;C&amp;1#&amp;"Calibri"&amp;10&amp;K000000Internal</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B050"/>
    <pageSetUpPr fitToPage="1"/>
  </sheetPr>
  <dimension ref="A1:C50"/>
  <sheetViews>
    <sheetView tabSelected="1" topLeftCell="A40" workbookViewId="0">
      <selection activeCell="D45" sqref="D45"/>
    </sheetView>
  </sheetViews>
  <sheetFormatPr defaultColWidth="9" defaultRowHeight="15" x14ac:dyDescent="0.25"/>
  <cols>
    <col min="1" max="1" width="26.5703125" customWidth="1"/>
    <col min="2" max="2" width="13.5703125" customWidth="1"/>
    <col min="3" max="3" width="118.5703125" customWidth="1"/>
  </cols>
  <sheetData>
    <row r="1" spans="1:3" ht="18.75" x14ac:dyDescent="0.25">
      <c r="A1" s="64" t="s">
        <v>94</v>
      </c>
      <c r="B1" s="70" t="s">
        <v>92</v>
      </c>
      <c r="C1" s="64" t="s">
        <v>93</v>
      </c>
    </row>
    <row r="2" spans="1:3" x14ac:dyDescent="0.25">
      <c r="A2" s="65" t="s">
        <v>322</v>
      </c>
      <c r="B2" s="63" t="s">
        <v>95</v>
      </c>
      <c r="C2" s="66" t="s">
        <v>96</v>
      </c>
    </row>
    <row r="3" spans="1:3" ht="22.5" customHeight="1" x14ac:dyDescent="0.25">
      <c r="A3" s="65" t="s">
        <v>323</v>
      </c>
      <c r="B3" s="63" t="s">
        <v>97</v>
      </c>
      <c r="C3" s="67" t="s">
        <v>101</v>
      </c>
    </row>
    <row r="4" spans="1:3" ht="30" x14ac:dyDescent="0.25">
      <c r="A4" s="65" t="s">
        <v>323</v>
      </c>
      <c r="B4" s="63" t="s">
        <v>97</v>
      </c>
      <c r="C4" s="67" t="s">
        <v>104</v>
      </c>
    </row>
    <row r="5" spans="1:3" x14ac:dyDescent="0.25">
      <c r="A5" s="65" t="s">
        <v>323</v>
      </c>
      <c r="B5" s="63" t="s">
        <v>99</v>
      </c>
      <c r="C5" s="67" t="s">
        <v>100</v>
      </c>
    </row>
    <row r="6" spans="1:3" x14ac:dyDescent="0.25">
      <c r="A6" s="65" t="s">
        <v>323</v>
      </c>
      <c r="B6" s="63" t="s">
        <v>103</v>
      </c>
      <c r="C6" s="67" t="s">
        <v>105</v>
      </c>
    </row>
    <row r="7" spans="1:3" ht="30" x14ac:dyDescent="0.25">
      <c r="A7" s="65" t="s">
        <v>324</v>
      </c>
      <c r="B7" s="63" t="s">
        <v>106</v>
      </c>
      <c r="C7" s="67" t="s">
        <v>107</v>
      </c>
    </row>
    <row r="8" spans="1:3" x14ac:dyDescent="0.25">
      <c r="A8" s="65" t="s">
        <v>324</v>
      </c>
      <c r="B8" s="63" t="s">
        <v>112</v>
      </c>
      <c r="C8" s="67" t="s">
        <v>113</v>
      </c>
    </row>
    <row r="9" spans="1:3" x14ac:dyDescent="0.25">
      <c r="A9" s="65" t="s">
        <v>325</v>
      </c>
      <c r="B9" s="63" t="s">
        <v>114</v>
      </c>
      <c r="C9" s="67" t="s">
        <v>115</v>
      </c>
    </row>
    <row r="10" spans="1:3" x14ac:dyDescent="0.25">
      <c r="A10" s="65" t="s">
        <v>325</v>
      </c>
      <c r="B10" s="63" t="s">
        <v>114</v>
      </c>
      <c r="C10" s="67" t="s">
        <v>128</v>
      </c>
    </row>
    <row r="11" spans="1:3" x14ac:dyDescent="0.25">
      <c r="A11" s="65" t="s">
        <v>325</v>
      </c>
      <c r="B11" s="63" t="s">
        <v>114</v>
      </c>
      <c r="C11" s="67" t="s">
        <v>163</v>
      </c>
    </row>
    <row r="12" spans="1:3" x14ac:dyDescent="0.25">
      <c r="A12" s="65" t="s">
        <v>325</v>
      </c>
      <c r="B12" s="63" t="s">
        <v>146</v>
      </c>
      <c r="C12" s="67" t="s">
        <v>156</v>
      </c>
    </row>
    <row r="13" spans="1:3" x14ac:dyDescent="0.25">
      <c r="A13" s="65" t="s">
        <v>325</v>
      </c>
      <c r="B13" s="63" t="s">
        <v>176</v>
      </c>
      <c r="C13" s="67" t="s">
        <v>175</v>
      </c>
    </row>
    <row r="14" spans="1:3" x14ac:dyDescent="0.25">
      <c r="A14" s="65" t="s">
        <v>325</v>
      </c>
      <c r="B14" s="63" t="s">
        <v>176</v>
      </c>
      <c r="C14" s="67" t="s">
        <v>181</v>
      </c>
    </row>
    <row r="15" spans="1:3" x14ac:dyDescent="0.25">
      <c r="A15" s="65" t="s">
        <v>325</v>
      </c>
      <c r="B15" s="63" t="s">
        <v>182</v>
      </c>
      <c r="C15" s="67" t="s">
        <v>183</v>
      </c>
    </row>
    <row r="16" spans="1:3" x14ac:dyDescent="0.25">
      <c r="A16" s="65" t="s">
        <v>326</v>
      </c>
      <c r="B16" s="63" t="s">
        <v>186</v>
      </c>
      <c r="C16" s="67" t="s">
        <v>223</v>
      </c>
    </row>
    <row r="17" spans="1:3" x14ac:dyDescent="0.25">
      <c r="A17" s="65" t="s">
        <v>326</v>
      </c>
      <c r="B17" s="63" t="s">
        <v>250</v>
      </c>
      <c r="C17" s="67" t="s">
        <v>248</v>
      </c>
    </row>
    <row r="18" spans="1:3" x14ac:dyDescent="0.25">
      <c r="A18" s="65" t="s">
        <v>326</v>
      </c>
      <c r="B18" s="63" t="s">
        <v>250</v>
      </c>
      <c r="C18" s="67" t="s">
        <v>249</v>
      </c>
    </row>
    <row r="19" spans="1:3" x14ac:dyDescent="0.25">
      <c r="A19" s="65" t="s">
        <v>327</v>
      </c>
      <c r="B19" s="63" t="s">
        <v>259</v>
      </c>
      <c r="C19" s="67" t="s">
        <v>258</v>
      </c>
    </row>
    <row r="20" spans="1:3" x14ac:dyDescent="0.25">
      <c r="A20" s="65" t="s">
        <v>327</v>
      </c>
      <c r="B20" s="63" t="s">
        <v>263</v>
      </c>
      <c r="C20" s="67" t="s">
        <v>262</v>
      </c>
    </row>
    <row r="21" spans="1:3" x14ac:dyDescent="0.25">
      <c r="A21" s="68" t="s">
        <v>313</v>
      </c>
      <c r="B21" s="63" t="s">
        <v>269</v>
      </c>
      <c r="C21" s="67" t="s">
        <v>268</v>
      </c>
    </row>
    <row r="22" spans="1:3" x14ac:dyDescent="0.25">
      <c r="A22" s="68" t="s">
        <v>314</v>
      </c>
      <c r="B22" s="63" t="s">
        <v>279</v>
      </c>
      <c r="C22" s="67" t="s">
        <v>280</v>
      </c>
    </row>
    <row r="23" spans="1:3" x14ac:dyDescent="0.25">
      <c r="A23" s="69" t="s">
        <v>315</v>
      </c>
      <c r="B23" s="63" t="s">
        <v>283</v>
      </c>
      <c r="C23" s="67" t="s">
        <v>284</v>
      </c>
    </row>
    <row r="24" spans="1:3" x14ac:dyDescent="0.25">
      <c r="A24" s="69" t="s">
        <v>315</v>
      </c>
      <c r="B24" s="63" t="s">
        <v>302</v>
      </c>
      <c r="C24" s="67" t="s">
        <v>303</v>
      </c>
    </row>
    <row r="25" spans="1:3" x14ac:dyDescent="0.25">
      <c r="A25" s="68" t="s">
        <v>305</v>
      </c>
      <c r="B25" s="63" t="s">
        <v>320</v>
      </c>
      <c r="C25" s="67" t="s">
        <v>308</v>
      </c>
    </row>
    <row r="26" spans="1:3" x14ac:dyDescent="0.25">
      <c r="A26" s="68" t="s">
        <v>305</v>
      </c>
      <c r="B26" s="63" t="s">
        <v>321</v>
      </c>
      <c r="C26" s="67" t="s">
        <v>309</v>
      </c>
    </row>
    <row r="27" spans="1:3" x14ac:dyDescent="0.25">
      <c r="A27" s="68" t="s">
        <v>317</v>
      </c>
      <c r="B27" s="63" t="s">
        <v>318</v>
      </c>
      <c r="C27" s="67" t="s">
        <v>319</v>
      </c>
    </row>
    <row r="28" spans="1:3" x14ac:dyDescent="0.25">
      <c r="A28" s="68" t="s">
        <v>317</v>
      </c>
      <c r="B28" s="63" t="s">
        <v>329</v>
      </c>
      <c r="C28" s="67" t="s">
        <v>328</v>
      </c>
    </row>
    <row r="29" spans="1:3" ht="30" x14ac:dyDescent="0.25">
      <c r="A29" s="68" t="s">
        <v>330</v>
      </c>
      <c r="B29" s="63">
        <v>43336</v>
      </c>
      <c r="C29" s="74" t="s">
        <v>334</v>
      </c>
    </row>
    <row r="30" spans="1:3" x14ac:dyDescent="0.25">
      <c r="A30" s="75" t="s">
        <v>335</v>
      </c>
      <c r="B30" s="76">
        <v>43640</v>
      </c>
      <c r="C30" s="66" t="s">
        <v>337</v>
      </c>
    </row>
    <row r="31" spans="1:3" ht="45" x14ac:dyDescent="0.25">
      <c r="A31" s="68" t="s">
        <v>339</v>
      </c>
      <c r="B31" s="63" t="s">
        <v>344</v>
      </c>
      <c r="C31" s="67" t="s">
        <v>343</v>
      </c>
    </row>
    <row r="32" spans="1:3" ht="45" x14ac:dyDescent="0.25">
      <c r="A32" s="68" t="s">
        <v>340</v>
      </c>
      <c r="B32" s="63" t="s">
        <v>341</v>
      </c>
      <c r="C32" s="67" t="s">
        <v>342</v>
      </c>
    </row>
    <row r="33" spans="1:3" ht="30" x14ac:dyDescent="0.25">
      <c r="A33" s="75" t="s">
        <v>369</v>
      </c>
      <c r="B33" s="92" t="s">
        <v>371</v>
      </c>
      <c r="C33" s="67" t="s">
        <v>370</v>
      </c>
    </row>
    <row r="34" spans="1:3" x14ac:dyDescent="0.25">
      <c r="A34" s="75" t="s">
        <v>372</v>
      </c>
      <c r="B34" s="63">
        <v>44279</v>
      </c>
      <c r="C34" s="67" t="s">
        <v>373</v>
      </c>
    </row>
    <row r="35" spans="1:3" x14ac:dyDescent="0.25">
      <c r="A35" s="75" t="s">
        <v>374</v>
      </c>
      <c r="B35" s="63">
        <v>44404</v>
      </c>
      <c r="C35" s="67" t="s">
        <v>373</v>
      </c>
    </row>
    <row r="36" spans="1:3" ht="30" x14ac:dyDescent="0.25">
      <c r="A36" s="75" t="s">
        <v>375</v>
      </c>
      <c r="B36" s="63">
        <v>44579</v>
      </c>
      <c r="C36" s="67" t="s">
        <v>378</v>
      </c>
    </row>
    <row r="37" spans="1:3" ht="45" x14ac:dyDescent="0.25">
      <c r="A37" s="68">
        <v>12.1</v>
      </c>
      <c r="B37" s="76">
        <v>44607</v>
      </c>
      <c r="C37" s="67" t="s">
        <v>404</v>
      </c>
    </row>
    <row r="38" spans="1:3" ht="165" x14ac:dyDescent="0.25">
      <c r="A38" s="75" t="s">
        <v>406</v>
      </c>
      <c r="B38" s="76">
        <v>44656</v>
      </c>
      <c r="C38" s="67" t="s">
        <v>414</v>
      </c>
    </row>
    <row r="39" spans="1:3" ht="75" x14ac:dyDescent="0.25">
      <c r="A39" s="75" t="s">
        <v>417</v>
      </c>
      <c r="B39" s="76">
        <v>44795</v>
      </c>
      <c r="C39" s="67" t="s">
        <v>424</v>
      </c>
    </row>
    <row r="40" spans="1:3" ht="75" x14ac:dyDescent="0.25">
      <c r="A40" s="75" t="s">
        <v>425</v>
      </c>
      <c r="B40" s="76">
        <v>45016</v>
      </c>
      <c r="C40" s="67" t="s">
        <v>426</v>
      </c>
    </row>
    <row r="41" spans="1:3" ht="60" x14ac:dyDescent="0.25">
      <c r="A41" s="75" t="s">
        <v>428</v>
      </c>
      <c r="B41" s="76">
        <v>45134</v>
      </c>
      <c r="C41" s="67" t="s">
        <v>429</v>
      </c>
    </row>
    <row r="42" spans="1:3" ht="60" x14ac:dyDescent="0.25">
      <c r="A42" s="75" t="s">
        <v>431</v>
      </c>
      <c r="B42" s="76">
        <v>45397</v>
      </c>
      <c r="C42" s="67" t="s">
        <v>439</v>
      </c>
    </row>
    <row r="43" spans="1:3" ht="30" x14ac:dyDescent="0.25">
      <c r="A43" s="75" t="s">
        <v>446</v>
      </c>
      <c r="B43" s="76">
        <v>45541</v>
      </c>
      <c r="C43" s="67" t="s">
        <v>447</v>
      </c>
    </row>
    <row r="44" spans="1:3" ht="30" x14ac:dyDescent="0.25">
      <c r="A44" s="75" t="s">
        <v>451</v>
      </c>
      <c r="B44" s="76">
        <v>45714</v>
      </c>
      <c r="C44" s="67" t="s">
        <v>447</v>
      </c>
    </row>
    <row r="45" spans="1:3" ht="45" x14ac:dyDescent="0.25">
      <c r="A45" s="104" t="s">
        <v>453</v>
      </c>
      <c r="B45" s="98">
        <v>45896</v>
      </c>
      <c r="C45" s="91" t="s">
        <v>521</v>
      </c>
    </row>
    <row r="46" spans="1:3" x14ac:dyDescent="0.25">
      <c r="A46" s="66"/>
      <c r="B46" s="66"/>
      <c r="C46" s="66"/>
    </row>
    <row r="47" spans="1:3" x14ac:dyDescent="0.25">
      <c r="A47" s="66"/>
      <c r="B47" s="66"/>
      <c r="C47" s="66"/>
    </row>
    <row r="48" spans="1:3" x14ac:dyDescent="0.25">
      <c r="A48" s="66"/>
      <c r="B48" s="66"/>
      <c r="C48" s="66"/>
    </row>
    <row r="49" spans="1:3" x14ac:dyDescent="0.25">
      <c r="A49" s="66"/>
      <c r="B49" s="66"/>
      <c r="C49" s="66"/>
    </row>
    <row r="50" spans="1:3" x14ac:dyDescent="0.25">
      <c r="A50" s="66"/>
      <c r="B50" s="66"/>
      <c r="C50" s="66"/>
    </row>
  </sheetData>
  <pageMargins left="0.7" right="0.7" top="0.75" bottom="0.75" header="0.3" footer="0.3"/>
  <pageSetup paperSize="9" scale="72" fitToHeight="0" orientation="portrait" r:id="rId1"/>
  <headerFooter>
    <oddFooter>&amp;C&amp;1#&amp;"Calibri"&amp;10&amp;K000000Internal</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B050"/>
  </sheetPr>
  <dimension ref="A1:BB26"/>
  <sheetViews>
    <sheetView zoomScale="86" zoomScaleNormal="86" workbookViewId="0">
      <pane xSplit="1" topLeftCell="B1" activePane="topRight" state="frozen"/>
      <selection pane="topRight" activeCell="B1" sqref="B1:AU1"/>
    </sheetView>
  </sheetViews>
  <sheetFormatPr defaultColWidth="11.42578125" defaultRowHeight="15" x14ac:dyDescent="0.25"/>
  <cols>
    <col min="1" max="1" width="24.140625" style="1" customWidth="1"/>
    <col min="2" max="2" width="26" style="1" customWidth="1"/>
    <col min="3" max="3" width="28.28515625" style="1" bestFit="1" customWidth="1"/>
    <col min="4" max="4" width="19.28515625" style="1" customWidth="1"/>
    <col min="5" max="5" width="16.140625" style="1" customWidth="1"/>
    <col min="6" max="6" width="12.140625" style="1" customWidth="1"/>
    <col min="7" max="7" width="15.5703125" style="1" customWidth="1"/>
    <col min="8" max="8" width="24" style="1" bestFit="1" customWidth="1"/>
    <col min="9" max="9" width="24" style="1" customWidth="1"/>
    <col min="10" max="10" width="23.28515625" style="1" bestFit="1" customWidth="1"/>
    <col min="11" max="11" width="18" style="1" customWidth="1"/>
    <col min="12" max="12" width="22.42578125" style="1" customWidth="1"/>
    <col min="13" max="13" width="12" style="1" customWidth="1"/>
    <col min="14" max="14" width="18.5703125" style="1" bestFit="1" customWidth="1"/>
    <col min="15" max="15" width="18.28515625" style="1" customWidth="1"/>
    <col min="16" max="16" width="18" style="1" customWidth="1"/>
    <col min="17" max="19" width="16.28515625" style="1" customWidth="1"/>
    <col min="20" max="20" width="21.85546875" style="1" customWidth="1"/>
    <col min="21" max="21" width="16.28515625" style="1" customWidth="1"/>
    <col min="22" max="22" width="22.28515625" style="1" customWidth="1"/>
    <col min="23" max="23" width="16.28515625" style="1" customWidth="1"/>
    <col min="24" max="24" width="30.7109375" style="1" customWidth="1"/>
    <col min="25" max="25" width="39.7109375" style="1" customWidth="1"/>
    <col min="26" max="26" width="21.7109375" style="1" customWidth="1"/>
    <col min="27" max="28" width="34.140625" style="1" customWidth="1"/>
    <col min="29" max="29" width="24.7109375" style="1" customWidth="1"/>
    <col min="30" max="30" width="11.42578125" style="29" customWidth="1"/>
    <col min="31" max="31" width="15.42578125" style="1" customWidth="1"/>
    <col min="32" max="33" width="17" style="1" customWidth="1"/>
    <col min="34" max="34" width="17.140625" style="1" customWidth="1"/>
    <col min="35" max="36" width="13.140625" style="1" customWidth="1"/>
    <col min="37" max="38" width="18.140625" style="1" customWidth="1"/>
    <col min="39" max="39" width="20.140625" style="1" customWidth="1"/>
    <col min="40" max="40" width="18.7109375" style="1" customWidth="1"/>
    <col min="41" max="41" width="14.140625" style="1" customWidth="1"/>
    <col min="42" max="47" width="16.28515625" style="1" customWidth="1"/>
    <col min="48" max="48" width="23.28515625" style="1" customWidth="1"/>
    <col min="49" max="49" width="18.140625" style="1" customWidth="1"/>
    <col min="50" max="50" width="21.5703125" style="1" customWidth="1"/>
    <col min="51" max="52" width="18.85546875" style="1" customWidth="1"/>
    <col min="53" max="53" width="15" style="1" customWidth="1"/>
    <col min="54" max="54" width="18.140625" style="1" customWidth="1"/>
    <col min="55" max="16384" width="11.42578125" style="1"/>
  </cols>
  <sheetData>
    <row r="1" spans="1:54" ht="39.75" customHeight="1" x14ac:dyDescent="0.25">
      <c r="A1" s="28" t="s">
        <v>78</v>
      </c>
      <c r="B1" s="152" t="s">
        <v>282</v>
      </c>
      <c r="C1" s="152"/>
      <c r="D1" s="152"/>
      <c r="E1" s="152"/>
      <c r="F1" s="152"/>
      <c r="G1" s="152"/>
      <c r="H1" s="152"/>
      <c r="I1" s="152"/>
      <c r="J1" s="152"/>
      <c r="K1" s="152"/>
      <c r="L1" s="152"/>
      <c r="M1" s="152"/>
      <c r="N1" s="152"/>
      <c r="O1" s="152"/>
      <c r="P1" s="152"/>
      <c r="Q1" s="152"/>
      <c r="R1" s="152"/>
      <c r="S1" s="152"/>
      <c r="T1" s="152"/>
      <c r="U1" s="152"/>
      <c r="V1" s="152"/>
      <c r="W1" s="152"/>
      <c r="X1" s="152"/>
      <c r="Y1" s="152"/>
      <c r="Z1" s="152"/>
      <c r="AA1" s="152"/>
      <c r="AB1" s="152"/>
      <c r="AC1" s="152"/>
      <c r="AD1" s="152"/>
      <c r="AE1" s="152"/>
      <c r="AF1" s="152"/>
      <c r="AG1" s="152"/>
      <c r="AH1" s="152"/>
      <c r="AI1" s="152"/>
      <c r="AJ1" s="152"/>
      <c r="AK1" s="152"/>
      <c r="AL1" s="152"/>
      <c r="AM1" s="152"/>
      <c r="AN1" s="152"/>
      <c r="AO1" s="152"/>
      <c r="AP1" s="152"/>
      <c r="AQ1" s="152"/>
      <c r="AR1" s="152"/>
      <c r="AS1" s="152"/>
      <c r="AT1" s="152"/>
      <c r="AU1" s="152"/>
      <c r="AV1" s="8"/>
      <c r="AW1" s="8"/>
      <c r="AX1" s="8"/>
      <c r="AY1" s="8"/>
      <c r="AZ1" s="8"/>
      <c r="BA1" s="9"/>
      <c r="BB1" s="10"/>
    </row>
    <row r="2" spans="1:54" ht="64.5" customHeight="1" x14ac:dyDescent="0.25">
      <c r="B2" s="149"/>
      <c r="C2" s="149"/>
      <c r="D2" s="149"/>
      <c r="E2" s="149"/>
      <c r="F2" s="147" t="s">
        <v>16</v>
      </c>
      <c r="G2" s="148"/>
      <c r="H2" s="148"/>
      <c r="I2" s="148"/>
      <c r="J2" s="148"/>
      <c r="K2" s="148"/>
      <c r="L2" s="148"/>
      <c r="M2" s="148"/>
      <c r="N2" s="148"/>
      <c r="O2" s="148"/>
      <c r="P2" s="148"/>
      <c r="Q2" s="148"/>
      <c r="R2" s="148"/>
      <c r="S2" s="148"/>
      <c r="T2" s="148"/>
      <c r="U2" s="148"/>
      <c r="V2" s="148"/>
      <c r="W2" s="148"/>
      <c r="X2" s="11"/>
      <c r="Y2" s="11"/>
      <c r="Z2" s="11"/>
      <c r="AA2" s="11"/>
      <c r="AB2" s="11"/>
      <c r="AC2" s="11"/>
      <c r="AD2" s="150" t="s">
        <v>19</v>
      </c>
      <c r="AE2" s="151"/>
      <c r="AF2" s="151"/>
      <c r="AG2" s="151"/>
      <c r="AH2" s="151"/>
      <c r="AI2" s="151"/>
      <c r="AJ2" s="151"/>
      <c r="AK2" s="151"/>
      <c r="AL2" s="151"/>
      <c r="AM2" s="151"/>
      <c r="AN2" s="151"/>
      <c r="AO2" s="151"/>
      <c r="AP2" s="151"/>
      <c r="AQ2" s="151"/>
      <c r="AR2" s="151"/>
      <c r="AS2" s="151"/>
      <c r="AT2" s="151"/>
      <c r="AU2" s="151"/>
      <c r="AV2" s="12"/>
      <c r="AW2" s="12"/>
      <c r="AX2" s="12"/>
      <c r="AY2" s="12"/>
      <c r="AZ2" s="12"/>
      <c r="BA2" s="13"/>
    </row>
    <row r="3" spans="1:54" ht="86.25" customHeight="1" thickBot="1" x14ac:dyDescent="0.3">
      <c r="A3" s="3"/>
      <c r="B3" s="3" t="s">
        <v>28</v>
      </c>
      <c r="C3" s="3" t="s">
        <v>2</v>
      </c>
      <c r="D3" s="2" t="s">
        <v>15</v>
      </c>
      <c r="E3" s="3" t="s">
        <v>109</v>
      </c>
      <c r="F3" s="36" t="s">
        <v>17</v>
      </c>
      <c r="G3" s="3" t="s">
        <v>108</v>
      </c>
      <c r="H3" s="3" t="s">
        <v>18</v>
      </c>
      <c r="I3" s="3" t="s">
        <v>433</v>
      </c>
      <c r="J3" s="3" t="s">
        <v>24</v>
      </c>
      <c r="K3" s="3" t="s">
        <v>42</v>
      </c>
      <c r="L3" s="3" t="s">
        <v>14</v>
      </c>
      <c r="M3" s="3" t="s">
        <v>7</v>
      </c>
      <c r="N3" s="3" t="s">
        <v>110</v>
      </c>
      <c r="O3" s="3" t="s">
        <v>11</v>
      </c>
      <c r="P3" s="3" t="s">
        <v>12</v>
      </c>
      <c r="Q3" s="3" t="s">
        <v>111</v>
      </c>
      <c r="R3" s="127" t="s">
        <v>454</v>
      </c>
      <c r="S3" s="127" t="s">
        <v>455</v>
      </c>
      <c r="T3" s="127" t="s">
        <v>456</v>
      </c>
      <c r="U3" s="127" t="s">
        <v>457</v>
      </c>
      <c r="V3" s="127" t="s">
        <v>458</v>
      </c>
      <c r="W3" s="127" t="s">
        <v>459</v>
      </c>
      <c r="X3" s="3" t="s">
        <v>20</v>
      </c>
      <c r="Y3" s="3" t="s">
        <v>21</v>
      </c>
      <c r="Z3" s="3" t="s">
        <v>22</v>
      </c>
      <c r="AA3" s="3" t="s">
        <v>27</v>
      </c>
      <c r="AB3" s="3" t="s">
        <v>23</v>
      </c>
      <c r="AC3" s="3" t="s">
        <v>435</v>
      </c>
      <c r="AD3" s="4" t="s">
        <v>17</v>
      </c>
      <c r="AE3" s="3" t="s">
        <v>108</v>
      </c>
      <c r="AF3" s="3" t="s">
        <v>18</v>
      </c>
      <c r="AG3" s="3" t="s">
        <v>433</v>
      </c>
      <c r="AH3" s="3" t="s">
        <v>24</v>
      </c>
      <c r="AI3" s="3" t="s">
        <v>42</v>
      </c>
      <c r="AJ3" s="3" t="s">
        <v>14</v>
      </c>
      <c r="AK3" s="3" t="s">
        <v>7</v>
      </c>
      <c r="AL3" s="3" t="s">
        <v>110</v>
      </c>
      <c r="AM3" s="3" t="s">
        <v>11</v>
      </c>
      <c r="AN3" s="3" t="s">
        <v>12</v>
      </c>
      <c r="AO3" s="3" t="s">
        <v>111</v>
      </c>
      <c r="AP3" s="127" t="s">
        <v>454</v>
      </c>
      <c r="AQ3" s="127" t="s">
        <v>455</v>
      </c>
      <c r="AR3" s="127" t="s">
        <v>456</v>
      </c>
      <c r="AS3" s="127" t="s">
        <v>457</v>
      </c>
      <c r="AT3" s="127" t="s">
        <v>458</v>
      </c>
      <c r="AU3" s="127" t="s">
        <v>459</v>
      </c>
      <c r="AV3" s="3" t="s">
        <v>20</v>
      </c>
      <c r="AW3" s="3" t="s">
        <v>21</v>
      </c>
      <c r="AX3" s="3" t="s">
        <v>22</v>
      </c>
      <c r="AY3" s="3" t="s">
        <v>27</v>
      </c>
      <c r="AZ3" s="3" t="s">
        <v>23</v>
      </c>
      <c r="BA3" s="120" t="s">
        <v>435</v>
      </c>
      <c r="BB3" s="5"/>
    </row>
    <row r="4" spans="1:54" s="7" customFormat="1" ht="240" customHeight="1" thickBot="1" x14ac:dyDescent="0.3">
      <c r="A4" s="3" t="s">
        <v>46</v>
      </c>
      <c r="B4" s="14" t="s">
        <v>238</v>
      </c>
      <c r="C4" s="14" t="s">
        <v>55</v>
      </c>
      <c r="D4" s="14" t="s">
        <v>50</v>
      </c>
      <c r="E4" s="14" t="s">
        <v>68</v>
      </c>
      <c r="F4" s="14" t="s">
        <v>165</v>
      </c>
      <c r="G4" s="14" t="s">
        <v>67</v>
      </c>
      <c r="H4" s="14" t="s">
        <v>166</v>
      </c>
      <c r="I4" s="101" t="s">
        <v>442</v>
      </c>
      <c r="J4" s="14" t="s">
        <v>82</v>
      </c>
      <c r="K4" s="14" t="s">
        <v>161</v>
      </c>
      <c r="L4" s="14" t="s">
        <v>65</v>
      </c>
      <c r="M4" s="14" t="s">
        <v>62</v>
      </c>
      <c r="N4" s="14" t="s">
        <v>83</v>
      </c>
      <c r="O4" s="14" t="s">
        <v>91</v>
      </c>
      <c r="P4" s="14" t="s">
        <v>90</v>
      </c>
      <c r="Q4" s="101" t="s">
        <v>449</v>
      </c>
      <c r="R4" s="129" t="s">
        <v>522</v>
      </c>
      <c r="S4" s="129" t="s">
        <v>523</v>
      </c>
      <c r="T4" s="129" t="s">
        <v>460</v>
      </c>
      <c r="U4" s="129"/>
      <c r="V4" s="129" t="s">
        <v>460</v>
      </c>
      <c r="W4" s="129"/>
      <c r="X4" s="14" t="s">
        <v>69</v>
      </c>
      <c r="Y4" s="14" t="s">
        <v>63</v>
      </c>
      <c r="Z4" s="101" t="s">
        <v>419</v>
      </c>
      <c r="AA4" s="14" t="s">
        <v>102</v>
      </c>
      <c r="AB4" s="14" t="s">
        <v>89</v>
      </c>
      <c r="AC4" s="101" t="s">
        <v>444</v>
      </c>
      <c r="AD4" s="14" t="s">
        <v>64</v>
      </c>
      <c r="AE4" s="14" t="s">
        <v>64</v>
      </c>
      <c r="AF4" s="14" t="s">
        <v>64</v>
      </c>
      <c r="AG4" s="101" t="s">
        <v>64</v>
      </c>
      <c r="AH4" s="14" t="s">
        <v>64</v>
      </c>
      <c r="AI4" s="14" t="s">
        <v>64</v>
      </c>
      <c r="AJ4" s="14" t="s">
        <v>64</v>
      </c>
      <c r="AK4" s="14" t="s">
        <v>64</v>
      </c>
      <c r="AL4" s="14" t="s">
        <v>64</v>
      </c>
      <c r="AM4" s="14" t="s">
        <v>64</v>
      </c>
      <c r="AN4" s="14" t="s">
        <v>64</v>
      </c>
      <c r="AO4" s="14" t="s">
        <v>64</v>
      </c>
      <c r="AP4" s="129" t="s">
        <v>64</v>
      </c>
      <c r="AQ4" s="129" t="s">
        <v>64</v>
      </c>
      <c r="AR4" s="129" t="s">
        <v>64</v>
      </c>
      <c r="AS4" s="129" t="s">
        <v>64</v>
      </c>
      <c r="AT4" s="129" t="s">
        <v>64</v>
      </c>
      <c r="AU4" s="129" t="s">
        <v>64</v>
      </c>
      <c r="AV4" s="14" t="s">
        <v>64</v>
      </c>
      <c r="AW4" s="14" t="s">
        <v>64</v>
      </c>
      <c r="AX4" s="14" t="s">
        <v>64</v>
      </c>
      <c r="AY4" s="14" t="s">
        <v>64</v>
      </c>
      <c r="AZ4" s="14" t="s">
        <v>64</v>
      </c>
      <c r="BA4" s="14" t="s">
        <v>64</v>
      </c>
    </row>
    <row r="5" spans="1:54" s="7" customFormat="1" ht="75" customHeight="1" thickBot="1" x14ac:dyDescent="0.3">
      <c r="A5" s="3" t="s">
        <v>47</v>
      </c>
      <c r="B5" s="14" t="s">
        <v>58</v>
      </c>
      <c r="C5" s="14" t="s">
        <v>59</v>
      </c>
      <c r="D5" s="14" t="s">
        <v>59</v>
      </c>
      <c r="E5" s="14" t="s">
        <v>60</v>
      </c>
      <c r="F5" s="14" t="s">
        <v>58</v>
      </c>
      <c r="G5" s="14" t="s">
        <v>60</v>
      </c>
      <c r="H5" s="14" t="s">
        <v>185</v>
      </c>
      <c r="I5" s="101" t="s">
        <v>441</v>
      </c>
      <c r="J5" s="14" t="s">
        <v>58</v>
      </c>
      <c r="K5" s="14" t="s">
        <v>57</v>
      </c>
      <c r="L5" s="14" t="s">
        <v>57</v>
      </c>
      <c r="M5" s="14" t="s">
        <v>58</v>
      </c>
      <c r="N5" s="14" t="s">
        <v>60</v>
      </c>
      <c r="O5" s="14" t="s">
        <v>58</v>
      </c>
      <c r="P5" s="14" t="s">
        <v>58</v>
      </c>
      <c r="Q5" s="14" t="s">
        <v>450</v>
      </c>
      <c r="R5" s="129" t="s">
        <v>60</v>
      </c>
      <c r="S5" s="129" t="s">
        <v>60</v>
      </c>
      <c r="T5" s="129" t="s">
        <v>58</v>
      </c>
      <c r="U5" s="129" t="s">
        <v>58</v>
      </c>
      <c r="V5" s="129" t="s">
        <v>58</v>
      </c>
      <c r="W5" s="129" t="s">
        <v>58</v>
      </c>
      <c r="X5" s="14" t="s">
        <v>58</v>
      </c>
      <c r="Y5" s="14" t="s">
        <v>58</v>
      </c>
      <c r="Z5" s="14" t="s">
        <v>58</v>
      </c>
      <c r="AA5" s="14" t="s">
        <v>58</v>
      </c>
      <c r="AB5" s="14" t="s">
        <v>58</v>
      </c>
      <c r="AC5" s="101" t="s">
        <v>58</v>
      </c>
      <c r="AD5" s="14" t="s">
        <v>58</v>
      </c>
      <c r="AE5" s="14" t="s">
        <v>60</v>
      </c>
      <c r="AF5" s="14" t="s">
        <v>87</v>
      </c>
      <c r="AG5" s="101" t="s">
        <v>441</v>
      </c>
      <c r="AH5" s="14" t="s">
        <v>58</v>
      </c>
      <c r="AI5" s="14" t="s">
        <v>57</v>
      </c>
      <c r="AJ5" s="14" t="s">
        <v>57</v>
      </c>
      <c r="AK5" s="14" t="s">
        <v>58</v>
      </c>
      <c r="AL5" s="14" t="s">
        <v>60</v>
      </c>
      <c r="AM5" s="14" t="s">
        <v>58</v>
      </c>
      <c r="AN5" s="14" t="s">
        <v>58</v>
      </c>
      <c r="AO5" s="14" t="s">
        <v>450</v>
      </c>
      <c r="AP5" s="129" t="s">
        <v>60</v>
      </c>
      <c r="AQ5" s="129" t="s">
        <v>60</v>
      </c>
      <c r="AR5" s="129" t="s">
        <v>58</v>
      </c>
      <c r="AS5" s="129" t="s">
        <v>58</v>
      </c>
      <c r="AT5" s="129" t="s">
        <v>58</v>
      </c>
      <c r="AU5" s="129" t="s">
        <v>58</v>
      </c>
      <c r="AV5" s="14" t="s">
        <v>58</v>
      </c>
      <c r="AW5" s="14" t="s">
        <v>58</v>
      </c>
      <c r="AX5" s="14" t="s">
        <v>58</v>
      </c>
      <c r="AY5" s="14" t="s">
        <v>58</v>
      </c>
      <c r="AZ5" s="14" t="s">
        <v>58</v>
      </c>
      <c r="BA5" s="14" t="s">
        <v>58</v>
      </c>
    </row>
    <row r="6" spans="1:54" s="7" customFormat="1" ht="132" customHeight="1" thickBot="1" x14ac:dyDescent="0.3">
      <c r="A6" s="3" t="s">
        <v>48</v>
      </c>
      <c r="B6" s="14" t="s">
        <v>54</v>
      </c>
      <c r="C6" s="101" t="s">
        <v>448</v>
      </c>
      <c r="D6" s="101" t="s">
        <v>420</v>
      </c>
      <c r="E6" s="14" t="s">
        <v>53</v>
      </c>
      <c r="F6" s="14" t="s">
        <v>164</v>
      </c>
      <c r="G6" s="14" t="s">
        <v>53</v>
      </c>
      <c r="H6" s="14" t="s">
        <v>57</v>
      </c>
      <c r="I6" s="101" t="s">
        <v>57</v>
      </c>
      <c r="J6" s="111" t="s">
        <v>432</v>
      </c>
      <c r="K6" s="14" t="s">
        <v>57</v>
      </c>
      <c r="L6" s="14" t="s">
        <v>66</v>
      </c>
      <c r="M6" s="14" t="s">
        <v>237</v>
      </c>
      <c r="N6" s="14" t="s">
        <v>53</v>
      </c>
      <c r="O6" s="14" t="s">
        <v>56</v>
      </c>
      <c r="P6" s="14" t="s">
        <v>61</v>
      </c>
      <c r="Q6" s="14" t="s">
        <v>57</v>
      </c>
      <c r="R6" s="129" t="s">
        <v>53</v>
      </c>
      <c r="S6" s="129" t="s">
        <v>53</v>
      </c>
      <c r="T6" s="129" t="s">
        <v>461</v>
      </c>
      <c r="U6" s="129" t="s">
        <v>461</v>
      </c>
      <c r="V6" s="129" t="s">
        <v>461</v>
      </c>
      <c r="W6" s="129" t="s">
        <v>461</v>
      </c>
      <c r="X6" s="14" t="s">
        <v>251</v>
      </c>
      <c r="Y6" s="14" t="s">
        <v>224</v>
      </c>
      <c r="Z6" s="101" t="s">
        <v>418</v>
      </c>
      <c r="AA6" s="14" t="s">
        <v>336</v>
      </c>
      <c r="AB6" s="101" t="s">
        <v>430</v>
      </c>
      <c r="AC6" s="101" t="s">
        <v>440</v>
      </c>
      <c r="AD6" s="14" t="s">
        <v>164</v>
      </c>
      <c r="AE6" s="14" t="s">
        <v>53</v>
      </c>
      <c r="AF6" s="14" t="s">
        <v>57</v>
      </c>
      <c r="AG6" s="101" t="s">
        <v>57</v>
      </c>
      <c r="AH6" s="111" t="s">
        <v>432</v>
      </c>
      <c r="AI6" s="14" t="s">
        <v>57</v>
      </c>
      <c r="AJ6" s="14" t="s">
        <v>57</v>
      </c>
      <c r="AK6" s="14" t="s">
        <v>237</v>
      </c>
      <c r="AL6" s="14" t="s">
        <v>53</v>
      </c>
      <c r="AM6" s="14" t="s">
        <v>56</v>
      </c>
      <c r="AN6" s="14" t="s">
        <v>61</v>
      </c>
      <c r="AO6" s="14" t="s">
        <v>57</v>
      </c>
      <c r="AP6" s="129" t="s">
        <v>53</v>
      </c>
      <c r="AQ6" s="129" t="s">
        <v>53</v>
      </c>
      <c r="AR6" s="129" t="s">
        <v>461</v>
      </c>
      <c r="AS6" s="129" t="s">
        <v>461</v>
      </c>
      <c r="AT6" s="129" t="s">
        <v>461</v>
      </c>
      <c r="AU6" s="129" t="s">
        <v>461</v>
      </c>
      <c r="AV6" s="14" t="s">
        <v>251</v>
      </c>
      <c r="AW6" s="14" t="s">
        <v>224</v>
      </c>
      <c r="AX6" s="101" t="s">
        <v>418</v>
      </c>
      <c r="AY6" s="14" t="s">
        <v>98</v>
      </c>
      <c r="AZ6" s="101" t="s">
        <v>430</v>
      </c>
      <c r="BA6" s="14" t="s">
        <v>440</v>
      </c>
    </row>
    <row r="7" spans="1:54" s="7" customFormat="1" ht="127.5" customHeight="1" thickBot="1" x14ac:dyDescent="0.3">
      <c r="A7" s="3" t="s">
        <v>231</v>
      </c>
      <c r="B7" s="14" t="s">
        <v>51</v>
      </c>
      <c r="C7" s="14" t="s">
        <v>51</v>
      </c>
      <c r="D7" s="14" t="s">
        <v>51</v>
      </c>
      <c r="E7" s="14" t="s">
        <v>51</v>
      </c>
      <c r="F7" s="14" t="s">
        <v>51</v>
      </c>
      <c r="G7" s="14" t="s">
        <v>51</v>
      </c>
      <c r="H7" s="14" t="s">
        <v>167</v>
      </c>
      <c r="I7" s="101" t="s">
        <v>434</v>
      </c>
      <c r="J7" s="14" t="s">
        <v>169</v>
      </c>
      <c r="K7" s="14" t="s">
        <v>88</v>
      </c>
      <c r="L7" s="14" t="s">
        <v>70</v>
      </c>
      <c r="M7" s="14" t="s">
        <v>51</v>
      </c>
      <c r="N7" s="14" t="s">
        <v>84</v>
      </c>
      <c r="O7" s="14" t="s">
        <v>85</v>
      </c>
      <c r="P7" s="14" t="s">
        <v>86</v>
      </c>
      <c r="Q7" s="101" t="s">
        <v>434</v>
      </c>
      <c r="R7" s="129" t="s">
        <v>513</v>
      </c>
      <c r="S7" s="129" t="s">
        <v>514</v>
      </c>
      <c r="T7" s="129" t="s">
        <v>515</v>
      </c>
      <c r="U7" s="129" t="s">
        <v>516</v>
      </c>
      <c r="V7" s="129" t="s">
        <v>517</v>
      </c>
      <c r="W7" s="129" t="s">
        <v>518</v>
      </c>
      <c r="X7" s="14" t="s">
        <v>51</v>
      </c>
      <c r="Y7" s="14" t="s">
        <v>51</v>
      </c>
      <c r="Z7" s="14" t="s">
        <v>51</v>
      </c>
      <c r="AA7" s="14" t="s">
        <v>52</v>
      </c>
      <c r="AB7" s="14" t="s">
        <v>52</v>
      </c>
      <c r="AC7" s="101" t="s">
        <v>445</v>
      </c>
      <c r="AD7" s="14" t="s">
        <v>51</v>
      </c>
      <c r="AE7" s="14" t="s">
        <v>51</v>
      </c>
      <c r="AF7" s="14" t="s">
        <v>168</v>
      </c>
      <c r="AG7" s="101" t="s">
        <v>434</v>
      </c>
      <c r="AH7" s="14" t="s">
        <v>169</v>
      </c>
      <c r="AI7" s="14" t="s">
        <v>88</v>
      </c>
      <c r="AJ7" s="14" t="s">
        <v>70</v>
      </c>
      <c r="AK7" s="14" t="s">
        <v>51</v>
      </c>
      <c r="AL7" s="14" t="s">
        <v>84</v>
      </c>
      <c r="AM7" s="14" t="s">
        <v>51</v>
      </c>
      <c r="AN7" s="14" t="s">
        <v>51</v>
      </c>
      <c r="AO7" s="14" t="s">
        <v>52</v>
      </c>
      <c r="AP7" s="129" t="s">
        <v>513</v>
      </c>
      <c r="AQ7" s="129" t="s">
        <v>514</v>
      </c>
      <c r="AR7" s="129" t="s">
        <v>515</v>
      </c>
      <c r="AS7" s="129" t="s">
        <v>516</v>
      </c>
      <c r="AT7" s="129" t="s">
        <v>517</v>
      </c>
      <c r="AU7" s="129" t="s">
        <v>518</v>
      </c>
      <c r="AV7" s="14" t="s">
        <v>51</v>
      </c>
      <c r="AW7" s="14" t="s">
        <v>51</v>
      </c>
      <c r="AX7" s="14" t="s">
        <v>51</v>
      </c>
      <c r="AY7" s="14" t="s">
        <v>52</v>
      </c>
      <c r="AZ7" s="14" t="s">
        <v>52</v>
      </c>
      <c r="BA7" s="14" t="s">
        <v>445</v>
      </c>
    </row>
    <row r="9" spans="1:54" x14ac:dyDescent="0.25">
      <c r="B9" s="60" t="s">
        <v>267</v>
      </c>
    </row>
    <row r="10" spans="1:54" x14ac:dyDescent="0.25">
      <c r="B10" s="153" t="s">
        <v>239</v>
      </c>
      <c r="C10" s="154"/>
      <c r="D10" s="154"/>
    </row>
    <row r="25" spans="3:3" x14ac:dyDescent="0.25">
      <c r="C25" s="7"/>
    </row>
    <row r="26" spans="3:3" x14ac:dyDescent="0.25">
      <c r="C26" s="7"/>
    </row>
  </sheetData>
  <dataConsolidate/>
  <mergeCells count="5">
    <mergeCell ref="F2:W2"/>
    <mergeCell ref="B2:E2"/>
    <mergeCell ref="AD2:AU2"/>
    <mergeCell ref="B1:AU1"/>
    <mergeCell ref="B10:D10"/>
  </mergeCells>
  <dataValidations count="6">
    <dataValidation type="list" allowBlank="1" showInputMessage="1" showErrorMessage="1" sqref="AA134:AB10002" xr:uid="{00000000-0002-0000-0200-000000000000}">
      <formula1>$AF$5:$AF$7</formula1>
    </dataValidation>
    <dataValidation type="list" allowBlank="1" showInputMessage="1" showErrorMessage="1" sqref="AC9972:AC10002 AC134:AC9970" xr:uid="{00000000-0002-0000-0200-000001000000}">
      <formula1>$AI$5:$AI$6</formula1>
    </dataValidation>
    <dataValidation type="list" allowBlank="1" showInputMessage="1" showErrorMessage="1" sqref="Z1:Z2" xr:uid="{00000000-0002-0000-0200-000002000000}">
      <formula1>$P$5:$P$9</formula1>
    </dataValidation>
    <dataValidation type="list" allowBlank="1" showInputMessage="1" showErrorMessage="1" sqref="AX1:AX2" xr:uid="{00000000-0002-0000-0200-000003000000}">
      <formula1>$AK$5:$AK$9</formula1>
    </dataValidation>
    <dataValidation type="list" allowBlank="1" showInputMessage="1" showErrorMessage="1" sqref="AN134:AN10002" xr:uid="{00000000-0002-0000-0200-000004000000}">
      <formula1>$M$5:$M$9</formula1>
    </dataValidation>
    <dataValidation type="list" allowBlank="1" showInputMessage="1" showErrorMessage="1" sqref="AX134:AX65536 Z134:Z65536 C134:D10001 AY134:BA10002 F134:G10001 AD134:AE10002 M134:M10001 AK134:AK10002 P134:P10002 O134:O10001 AM134:AM10002 J134:J10001 AH134:AH10002 AV1:AV2 AW134:AW10002 X134:Y10002 AV134:AV65536" xr:uid="{00000000-0002-0000-0200-000006000000}">
      <formula1>#REF!</formula1>
    </dataValidation>
  </dataValidations>
  <pageMargins left="0.7" right="0.7" top="0.75" bottom="0.75" header="0.3" footer="0.3"/>
  <pageSetup paperSize="9" orientation="portrait" r:id="rId1"/>
  <headerFooter>
    <oddFooter>&amp;C&amp;1#&amp;"Calibri"&amp;10&amp;K000000Internal</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
  <sheetViews>
    <sheetView workbookViewId="0"/>
  </sheetViews>
  <sheetFormatPr defaultColWidth="9" defaultRowHeight="15" x14ac:dyDescent="0.25"/>
  <sheetData/>
  <pageMargins left="0.7" right="0.7" top="0.75" bottom="0.75" header="0.3" footer="0.3"/>
  <pageSetup paperSize="9" orientation="portrait" verticalDpi="599" r:id="rId1"/>
  <headerFooter>
    <oddFooter>&amp;C&amp;1#&amp;"Calibri"&amp;10&amp;K000000Internal</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B050"/>
  </sheetPr>
  <dimension ref="A1:BA37"/>
  <sheetViews>
    <sheetView topLeftCell="W1" workbookViewId="0">
      <selection sqref="A1:AT1"/>
    </sheetView>
  </sheetViews>
  <sheetFormatPr defaultColWidth="9" defaultRowHeight="15" x14ac:dyDescent="0.25"/>
  <cols>
    <col min="1" max="1" width="32.140625" customWidth="1"/>
    <col min="2" max="2" width="9.140625" customWidth="1"/>
    <col min="3" max="3" width="9" customWidth="1"/>
    <col min="4" max="4" width="16" customWidth="1"/>
    <col min="5" max="5" width="9" customWidth="1"/>
    <col min="6" max="6" width="17" customWidth="1"/>
    <col min="7" max="15" width="9" customWidth="1"/>
    <col min="16" max="16" width="6.140625" customWidth="1"/>
    <col min="17" max="17" width="15.7109375" customWidth="1"/>
    <col min="18" max="18" width="16.42578125" customWidth="1"/>
    <col min="19" max="19" width="14.28515625" customWidth="1"/>
    <col min="20" max="20" width="15.140625" customWidth="1"/>
    <col min="21" max="21" width="13.140625" customWidth="1"/>
    <col min="22" max="22" width="13.85546875" customWidth="1"/>
    <col min="23" max="23" width="9" customWidth="1"/>
    <col min="24" max="24" width="15.7109375" customWidth="1"/>
    <col min="25" max="25" width="9" customWidth="1"/>
    <col min="26" max="26" width="12.7109375" customWidth="1"/>
    <col min="27" max="27" width="10.7109375" customWidth="1"/>
    <col min="28" max="29" width="9" customWidth="1"/>
    <col min="30" max="30" width="16.5703125" customWidth="1"/>
    <col min="31" max="32" width="9" customWidth="1"/>
    <col min="33" max="33" width="7.7109375" customWidth="1"/>
    <col min="34" max="39" width="9" customWidth="1"/>
    <col min="40" max="40" width="6.7109375" customWidth="1"/>
    <col min="41" max="41" width="14.85546875" customWidth="1"/>
    <col min="42" max="42" width="16" customWidth="1"/>
    <col min="43" max="43" width="14.28515625" customWidth="1"/>
    <col min="44" max="44" width="15.140625" customWidth="1"/>
    <col min="45" max="45" width="13.140625" customWidth="1"/>
    <col min="46" max="46" width="13.85546875" customWidth="1"/>
    <col min="47" max="47" width="14.42578125" customWidth="1"/>
    <col min="48" max="48" width="16.7109375" customWidth="1"/>
    <col min="49" max="49" width="9" customWidth="1"/>
    <col min="50" max="51" width="15.28515625" customWidth="1"/>
    <col min="52" max="52" width="12.28515625" customWidth="1"/>
  </cols>
  <sheetData>
    <row r="1" spans="1:53" s="1" customFormat="1" ht="39.75" customHeight="1" x14ac:dyDescent="0.25">
      <c r="A1" s="155" t="s">
        <v>75</v>
      </c>
      <c r="B1" s="155"/>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c r="AJ1" s="155"/>
      <c r="AK1" s="155"/>
      <c r="AL1" s="155"/>
      <c r="AM1" s="155"/>
      <c r="AN1" s="155"/>
      <c r="AO1" s="155"/>
      <c r="AP1" s="155"/>
      <c r="AQ1" s="155"/>
      <c r="AR1" s="155"/>
      <c r="AS1" s="155"/>
      <c r="AT1" s="155"/>
      <c r="AU1" s="8"/>
      <c r="AV1" s="8"/>
      <c r="AW1" s="8"/>
      <c r="AX1" s="8"/>
      <c r="AY1" s="8"/>
      <c r="AZ1" s="9"/>
      <c r="BA1" s="10"/>
    </row>
    <row r="2" spans="1:53" s="1" customFormat="1" ht="24" customHeight="1" x14ac:dyDescent="0.25">
      <c r="A2" s="149"/>
      <c r="B2" s="149"/>
      <c r="C2" s="149"/>
      <c r="D2" s="149"/>
      <c r="E2" s="147" t="s">
        <v>16</v>
      </c>
      <c r="F2" s="148"/>
      <c r="G2" s="148"/>
      <c r="H2" s="148"/>
      <c r="I2" s="148"/>
      <c r="J2" s="148"/>
      <c r="K2" s="148"/>
      <c r="L2" s="148"/>
      <c r="M2" s="148"/>
      <c r="N2" s="148"/>
      <c r="O2" s="148"/>
      <c r="P2" s="148"/>
      <c r="Q2" s="148"/>
      <c r="R2" s="148"/>
      <c r="S2" s="148"/>
      <c r="T2" s="148"/>
      <c r="U2" s="148"/>
      <c r="V2" s="148"/>
      <c r="W2" s="11"/>
      <c r="X2" s="11"/>
      <c r="Y2" s="11"/>
      <c r="Z2" s="11"/>
      <c r="AA2" s="11"/>
      <c r="AB2" s="11"/>
      <c r="AC2" s="150" t="s">
        <v>19</v>
      </c>
      <c r="AD2" s="151"/>
      <c r="AE2" s="151"/>
      <c r="AF2" s="151"/>
      <c r="AG2" s="151"/>
      <c r="AH2" s="151"/>
      <c r="AI2" s="151"/>
      <c r="AJ2" s="151"/>
      <c r="AK2" s="151"/>
      <c r="AL2" s="151"/>
      <c r="AM2" s="151"/>
      <c r="AN2" s="151"/>
      <c r="AO2" s="151"/>
      <c r="AP2" s="151"/>
      <c r="AQ2" s="151"/>
      <c r="AR2" s="151"/>
      <c r="AS2" s="151"/>
      <c r="AT2" s="151"/>
      <c r="AU2" s="12"/>
      <c r="AV2" s="12"/>
      <c r="AW2" s="12"/>
      <c r="AX2" s="12"/>
      <c r="AY2" s="12"/>
      <c r="AZ2" s="13"/>
    </row>
    <row r="3" spans="1:53" s="1" customFormat="1" ht="57.75" customHeight="1" thickBot="1" x14ac:dyDescent="0.3">
      <c r="A3" s="3" t="s">
        <v>28</v>
      </c>
      <c r="B3" s="3" t="s">
        <v>2</v>
      </c>
      <c r="C3" s="2" t="s">
        <v>15</v>
      </c>
      <c r="D3" s="3" t="s">
        <v>109</v>
      </c>
      <c r="E3" s="4" t="s">
        <v>17</v>
      </c>
      <c r="F3" s="3" t="s">
        <v>108</v>
      </c>
      <c r="G3" s="3" t="s">
        <v>18</v>
      </c>
      <c r="H3" s="3" t="s">
        <v>433</v>
      </c>
      <c r="I3" s="3" t="s">
        <v>24</v>
      </c>
      <c r="J3" s="3" t="s">
        <v>42</v>
      </c>
      <c r="K3" s="3" t="s">
        <v>14</v>
      </c>
      <c r="L3" s="3" t="s">
        <v>7</v>
      </c>
      <c r="M3" s="3" t="s">
        <v>110</v>
      </c>
      <c r="N3" s="3" t="s">
        <v>11</v>
      </c>
      <c r="O3" s="3" t="s">
        <v>12</v>
      </c>
      <c r="P3" s="3" t="s">
        <v>111</v>
      </c>
      <c r="Q3" s="127" t="s">
        <v>454</v>
      </c>
      <c r="R3" s="127" t="s">
        <v>455</v>
      </c>
      <c r="S3" s="127" t="s">
        <v>456</v>
      </c>
      <c r="T3" s="127" t="s">
        <v>457</v>
      </c>
      <c r="U3" s="127" t="s">
        <v>458</v>
      </c>
      <c r="V3" s="127" t="s">
        <v>459</v>
      </c>
      <c r="W3" s="3" t="s">
        <v>20</v>
      </c>
      <c r="X3" s="3" t="s">
        <v>21</v>
      </c>
      <c r="Y3" s="3" t="s">
        <v>22</v>
      </c>
      <c r="Z3" s="3" t="s">
        <v>27</v>
      </c>
      <c r="AA3" s="3" t="s">
        <v>23</v>
      </c>
      <c r="AB3" s="3" t="s">
        <v>435</v>
      </c>
      <c r="AC3" s="4" t="s">
        <v>17</v>
      </c>
      <c r="AD3" s="3" t="s">
        <v>108</v>
      </c>
      <c r="AE3" s="3" t="s">
        <v>18</v>
      </c>
      <c r="AF3" s="3" t="s">
        <v>433</v>
      </c>
      <c r="AG3" s="3" t="s">
        <v>24</v>
      </c>
      <c r="AH3" s="3" t="s">
        <v>42</v>
      </c>
      <c r="AI3" s="3" t="s">
        <v>14</v>
      </c>
      <c r="AJ3" s="3" t="s">
        <v>7</v>
      </c>
      <c r="AK3" s="3" t="s">
        <v>110</v>
      </c>
      <c r="AL3" s="3" t="s">
        <v>11</v>
      </c>
      <c r="AM3" s="3" t="s">
        <v>12</v>
      </c>
      <c r="AN3" s="3" t="s">
        <v>111</v>
      </c>
      <c r="AO3" s="127" t="s">
        <v>454</v>
      </c>
      <c r="AP3" s="127" t="s">
        <v>455</v>
      </c>
      <c r="AQ3" s="127" t="s">
        <v>456</v>
      </c>
      <c r="AR3" s="127" t="s">
        <v>457</v>
      </c>
      <c r="AS3" s="127" t="s">
        <v>458</v>
      </c>
      <c r="AT3" s="127" t="s">
        <v>459</v>
      </c>
      <c r="AU3" s="3" t="s">
        <v>20</v>
      </c>
      <c r="AV3" s="3" t="s">
        <v>21</v>
      </c>
      <c r="AW3" s="3" t="s">
        <v>22</v>
      </c>
      <c r="AX3" s="3" t="s">
        <v>27</v>
      </c>
      <c r="AY3" s="3" t="s">
        <v>23</v>
      </c>
      <c r="AZ3" s="120" t="s">
        <v>435</v>
      </c>
      <c r="BA3" s="5"/>
    </row>
    <row r="4" spans="1:53" x14ac:dyDescent="0.25">
      <c r="A4" s="24" t="s">
        <v>71</v>
      </c>
      <c r="B4" s="24" t="s">
        <v>30</v>
      </c>
      <c r="C4" s="24" t="s">
        <v>4</v>
      </c>
      <c r="D4" s="25">
        <v>43267</v>
      </c>
      <c r="E4" s="24" t="s">
        <v>6</v>
      </c>
      <c r="F4" s="25">
        <v>41441</v>
      </c>
      <c r="G4" s="22">
        <v>20</v>
      </c>
      <c r="H4" s="26"/>
      <c r="I4" s="24" t="s">
        <v>29</v>
      </c>
      <c r="J4" s="26"/>
      <c r="K4" s="24">
        <v>5000000</v>
      </c>
      <c r="L4" s="24" t="s">
        <v>9</v>
      </c>
      <c r="M4" s="26"/>
      <c r="N4" s="22"/>
      <c r="O4" s="22"/>
      <c r="P4" s="22"/>
      <c r="Q4" s="22"/>
      <c r="R4" s="22"/>
      <c r="S4" s="22"/>
      <c r="T4" s="22"/>
      <c r="U4" s="22"/>
      <c r="V4" s="22"/>
      <c r="W4" s="24" t="s">
        <v>39</v>
      </c>
      <c r="X4" s="24" t="s">
        <v>45</v>
      </c>
      <c r="Y4" s="24" t="s">
        <v>40</v>
      </c>
      <c r="Z4" s="22" t="s">
        <v>44</v>
      </c>
      <c r="AA4" s="22" t="s">
        <v>35</v>
      </c>
      <c r="AB4" s="26"/>
      <c r="AC4" s="24" t="s">
        <v>32</v>
      </c>
      <c r="AD4" s="25">
        <v>41441</v>
      </c>
      <c r="AE4" s="24">
        <v>1</v>
      </c>
      <c r="AF4" s="26"/>
      <c r="AG4" s="26"/>
      <c r="AH4" s="26"/>
      <c r="AI4" s="24">
        <v>5000000</v>
      </c>
      <c r="AJ4" s="24" t="s">
        <v>10</v>
      </c>
      <c r="AK4" s="26"/>
      <c r="AL4" s="22"/>
      <c r="AM4" s="22"/>
      <c r="AN4" s="22"/>
      <c r="AO4" s="22"/>
      <c r="AP4" s="22"/>
      <c r="AQ4" s="22"/>
      <c r="AR4" s="22"/>
      <c r="AS4" s="22"/>
      <c r="AT4" s="22"/>
      <c r="AU4" s="24" t="s">
        <v>33</v>
      </c>
      <c r="AV4" s="24" t="s">
        <v>45</v>
      </c>
      <c r="AW4" s="24" t="s">
        <v>40</v>
      </c>
      <c r="AX4" s="22"/>
      <c r="AY4" s="22"/>
      <c r="AZ4" s="26"/>
    </row>
    <row r="5" spans="1:53" x14ac:dyDescent="0.25">
      <c r="A5" s="24" t="s">
        <v>413</v>
      </c>
      <c r="B5" s="24" t="s">
        <v>30</v>
      </c>
      <c r="C5" s="24" t="s">
        <v>4</v>
      </c>
      <c r="D5" s="25">
        <v>42628</v>
      </c>
      <c r="E5" s="24" t="s">
        <v>6</v>
      </c>
      <c r="F5" s="25">
        <v>41532</v>
      </c>
      <c r="G5" s="22"/>
      <c r="H5" s="26"/>
      <c r="I5" s="24" t="s">
        <v>29</v>
      </c>
      <c r="J5" s="26"/>
      <c r="K5" s="24">
        <v>30000000</v>
      </c>
      <c r="L5" s="24" t="s">
        <v>9</v>
      </c>
      <c r="M5" s="26"/>
      <c r="N5" s="22"/>
      <c r="O5" s="22"/>
      <c r="P5" s="22"/>
      <c r="Q5" s="22"/>
      <c r="R5" s="22"/>
      <c r="S5" s="22"/>
      <c r="T5" s="22"/>
      <c r="U5" s="22"/>
      <c r="V5" s="22"/>
      <c r="W5" s="24" t="s">
        <v>39</v>
      </c>
      <c r="X5" s="24" t="s">
        <v>45</v>
      </c>
      <c r="Y5" s="24" t="s">
        <v>40</v>
      </c>
      <c r="Z5" s="22" t="s">
        <v>44</v>
      </c>
      <c r="AA5" s="22" t="s">
        <v>35</v>
      </c>
      <c r="AB5" s="26"/>
      <c r="AC5" s="24" t="s">
        <v>32</v>
      </c>
      <c r="AD5" s="25">
        <v>41532</v>
      </c>
      <c r="AE5" s="24">
        <v>1.25</v>
      </c>
      <c r="AF5" s="26"/>
      <c r="AG5" s="26"/>
      <c r="AH5" s="26"/>
      <c r="AI5" s="24">
        <v>30000000</v>
      </c>
      <c r="AJ5" s="24" t="s">
        <v>9</v>
      </c>
      <c r="AK5" s="26"/>
      <c r="AL5" s="22"/>
      <c r="AM5" s="22"/>
      <c r="AN5" s="22"/>
      <c r="AO5" s="22"/>
      <c r="AP5" s="22"/>
      <c r="AQ5" s="22"/>
      <c r="AR5" s="22"/>
      <c r="AS5" s="22"/>
      <c r="AT5" s="22"/>
      <c r="AU5" s="24" t="s">
        <v>33</v>
      </c>
      <c r="AV5" s="24" t="s">
        <v>45</v>
      </c>
      <c r="AW5" s="24" t="s">
        <v>40</v>
      </c>
      <c r="AX5" s="22" t="s">
        <v>44</v>
      </c>
      <c r="AY5" s="22" t="s">
        <v>35</v>
      </c>
      <c r="AZ5" s="26"/>
    </row>
    <row r="12" spans="1:53" x14ac:dyDescent="0.25">
      <c r="A12" s="24" t="s">
        <v>73</v>
      </c>
    </row>
    <row r="13" spans="1:53" x14ac:dyDescent="0.25">
      <c r="A13" s="22" t="s">
        <v>72</v>
      </c>
    </row>
    <row r="14" spans="1:53" x14ac:dyDescent="0.25">
      <c r="A14" s="26" t="s">
        <v>240</v>
      </c>
    </row>
    <row r="20" spans="12:12" x14ac:dyDescent="0.25">
      <c r="L20" s="16"/>
    </row>
    <row r="21" spans="12:12" x14ac:dyDescent="0.25">
      <c r="L21" s="16"/>
    </row>
    <row r="22" spans="12:12" x14ac:dyDescent="0.25">
      <c r="L22" s="17"/>
    </row>
    <row r="23" spans="12:12" x14ac:dyDescent="0.25">
      <c r="L23" s="18"/>
    </row>
    <row r="24" spans="12:12" x14ac:dyDescent="0.25">
      <c r="L24" s="18"/>
    </row>
    <row r="25" spans="12:12" x14ac:dyDescent="0.25">
      <c r="L25" s="17"/>
    </row>
    <row r="26" spans="12:12" x14ac:dyDescent="0.25">
      <c r="L26" s="18"/>
    </row>
    <row r="27" spans="12:12" x14ac:dyDescent="0.25">
      <c r="L27" s="18"/>
    </row>
    <row r="28" spans="12:12" x14ac:dyDescent="0.25">
      <c r="L28" s="19"/>
    </row>
    <row r="29" spans="12:12" x14ac:dyDescent="0.25">
      <c r="L29" s="19"/>
    </row>
    <row r="30" spans="12:12" x14ac:dyDescent="0.25">
      <c r="L30" s="17"/>
    </row>
    <row r="31" spans="12:12" x14ac:dyDescent="0.25">
      <c r="L31" s="20"/>
    </row>
    <row r="32" spans="12:12" x14ac:dyDescent="0.25">
      <c r="L32" s="17"/>
    </row>
    <row r="35" spans="12:12" x14ac:dyDescent="0.25">
      <c r="L35" s="21"/>
    </row>
    <row r="36" spans="12:12" x14ac:dyDescent="0.25">
      <c r="L36" s="21"/>
    </row>
    <row r="37" spans="12:12" x14ac:dyDescent="0.25">
      <c r="L37" s="21"/>
    </row>
  </sheetData>
  <mergeCells count="4">
    <mergeCell ref="A1:AT1"/>
    <mergeCell ref="A2:D2"/>
    <mergeCell ref="E2:V2"/>
    <mergeCell ref="AC2:AT2"/>
  </mergeCells>
  <dataValidations count="2">
    <dataValidation showDropDown="1" showInputMessage="1" showErrorMessage="1" sqref="AW5 AG5:AH5 I5 Y5 AU5 A4:XFD4" xr:uid="{00000000-0002-0000-0400-000000000000}"/>
    <dataValidation type="list" allowBlank="1" showInputMessage="1" showErrorMessage="1" sqref="AU1:AU2 AW1:AW2 Y1:Y2" xr:uid="{00000000-0002-0000-0400-000001000000}">
      <formula1>#REF!</formula1>
    </dataValidation>
  </dataValidations>
  <pageMargins left="0.7" right="0.7" top="0.75" bottom="0.75" header="0.3" footer="0.3"/>
  <pageSetup paperSize="9" orientation="portrait" r:id="rId1"/>
  <headerFooter>
    <oddFooter>&amp;C&amp;1#&amp;"Calibri"&amp;10&amp;K000000Internal</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B050"/>
  </sheetPr>
  <dimension ref="A1:BB51"/>
  <sheetViews>
    <sheetView zoomScale="90" zoomScaleNormal="90" workbookViewId="0">
      <selection sqref="A1:AT1"/>
    </sheetView>
  </sheetViews>
  <sheetFormatPr defaultColWidth="9" defaultRowHeight="15" x14ac:dyDescent="0.25"/>
  <cols>
    <col min="1" max="1" width="16.5703125" customWidth="1"/>
    <col min="2" max="2" width="9.140625" customWidth="1"/>
    <col min="3" max="3" width="9" customWidth="1"/>
    <col min="4" max="4" width="11.85546875" customWidth="1"/>
    <col min="5" max="5" width="9" customWidth="1"/>
    <col min="6" max="6" width="15.85546875" customWidth="1"/>
    <col min="7" max="12" width="9" customWidth="1"/>
    <col min="13" max="13" width="12.140625" customWidth="1"/>
    <col min="14" max="15" width="9" customWidth="1"/>
    <col min="16" max="16" width="11.5703125" customWidth="1"/>
    <col min="17" max="17" width="14.5703125" customWidth="1"/>
    <col min="18" max="18" width="14.42578125" customWidth="1"/>
    <col min="19" max="19" width="14.140625" customWidth="1"/>
    <col min="20" max="20" width="14.5703125" customWidth="1"/>
    <col min="21" max="21" width="12.85546875" customWidth="1"/>
    <col min="22" max="22" width="14.5703125" customWidth="1"/>
    <col min="23" max="29" width="9" customWidth="1"/>
    <col min="30" max="30" width="16.28515625" customWidth="1"/>
    <col min="31" max="36" width="9" customWidth="1"/>
    <col min="37" max="37" width="10.7109375" customWidth="1"/>
    <col min="41" max="41" width="14.5703125" customWidth="1"/>
    <col min="42" max="42" width="14.42578125" customWidth="1"/>
    <col min="43" max="43" width="14.140625" customWidth="1"/>
    <col min="44" max="44" width="14.5703125" customWidth="1"/>
    <col min="45" max="45" width="12.85546875" customWidth="1"/>
    <col min="46" max="46" width="14.5703125" customWidth="1"/>
    <col min="54" max="54" width="90.42578125" bestFit="1" customWidth="1"/>
  </cols>
  <sheetData>
    <row r="1" spans="1:54" s="1" customFormat="1" ht="39.75" customHeight="1" x14ac:dyDescent="0.25">
      <c r="A1" s="155" t="s">
        <v>81</v>
      </c>
      <c r="B1" s="155"/>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c r="AJ1" s="155"/>
      <c r="AK1" s="155"/>
      <c r="AL1" s="155"/>
      <c r="AM1" s="155"/>
      <c r="AN1" s="155"/>
      <c r="AO1" s="155"/>
      <c r="AP1" s="155"/>
      <c r="AQ1" s="155"/>
      <c r="AR1" s="155"/>
      <c r="AS1" s="155"/>
      <c r="AT1" s="155"/>
      <c r="AU1" s="8"/>
      <c r="AV1" s="8"/>
      <c r="AW1" s="8"/>
      <c r="AX1" s="8"/>
      <c r="AY1" s="8"/>
      <c r="AZ1" s="9"/>
    </row>
    <row r="2" spans="1:54" s="1" customFormat="1" ht="24" customHeight="1" x14ac:dyDescent="0.25">
      <c r="A2" s="149"/>
      <c r="B2" s="149"/>
      <c r="C2" s="149"/>
      <c r="D2" s="149"/>
      <c r="E2" s="147" t="s">
        <v>16</v>
      </c>
      <c r="F2" s="148"/>
      <c r="G2" s="148"/>
      <c r="H2" s="148"/>
      <c r="I2" s="148"/>
      <c r="J2" s="148"/>
      <c r="K2" s="148"/>
      <c r="L2" s="148"/>
      <c r="M2" s="148"/>
      <c r="N2" s="148"/>
      <c r="O2" s="148"/>
      <c r="P2" s="148"/>
      <c r="Q2" s="148"/>
      <c r="R2" s="148"/>
      <c r="S2" s="148"/>
      <c r="T2" s="148"/>
      <c r="U2" s="148"/>
      <c r="V2" s="148"/>
      <c r="W2" s="11"/>
      <c r="X2" s="11"/>
      <c r="Y2" s="11"/>
      <c r="Z2" s="11"/>
      <c r="AA2" s="11"/>
      <c r="AB2" s="11"/>
      <c r="AC2" s="150" t="s">
        <v>19</v>
      </c>
      <c r="AD2" s="151"/>
      <c r="AE2" s="151"/>
      <c r="AF2" s="151"/>
      <c r="AG2" s="151"/>
      <c r="AH2" s="151"/>
      <c r="AI2" s="151"/>
      <c r="AJ2" s="151"/>
      <c r="AK2" s="151"/>
      <c r="AL2" s="151"/>
      <c r="AM2" s="151"/>
      <c r="AN2" s="151"/>
      <c r="AO2" s="151"/>
      <c r="AP2" s="151"/>
      <c r="AQ2" s="151"/>
      <c r="AR2" s="151"/>
      <c r="AS2" s="151"/>
      <c r="AT2" s="151"/>
      <c r="AU2" s="12"/>
      <c r="AV2" s="12"/>
      <c r="AW2" s="12"/>
      <c r="AX2" s="12"/>
      <c r="AY2" s="12"/>
      <c r="AZ2" s="13"/>
    </row>
    <row r="3" spans="1:54" s="1" customFormat="1" ht="57.75" customHeight="1" thickBot="1" x14ac:dyDescent="0.3">
      <c r="A3" s="3" t="s">
        <v>28</v>
      </c>
      <c r="B3" s="3" t="s">
        <v>2</v>
      </c>
      <c r="C3" s="2" t="s">
        <v>15</v>
      </c>
      <c r="D3" s="3" t="s">
        <v>109</v>
      </c>
      <c r="E3" s="4" t="s">
        <v>17</v>
      </c>
      <c r="F3" s="3" t="s">
        <v>108</v>
      </c>
      <c r="G3" s="3" t="s">
        <v>18</v>
      </c>
      <c r="H3" s="3" t="s">
        <v>433</v>
      </c>
      <c r="I3" s="3" t="s">
        <v>24</v>
      </c>
      <c r="J3" s="3" t="s">
        <v>42</v>
      </c>
      <c r="K3" s="3" t="s">
        <v>14</v>
      </c>
      <c r="L3" s="3" t="s">
        <v>7</v>
      </c>
      <c r="M3" s="3" t="s">
        <v>110</v>
      </c>
      <c r="N3" s="3" t="s">
        <v>11</v>
      </c>
      <c r="O3" s="3" t="s">
        <v>12</v>
      </c>
      <c r="P3" s="3" t="s">
        <v>111</v>
      </c>
      <c r="Q3" s="127" t="s">
        <v>454</v>
      </c>
      <c r="R3" s="127" t="s">
        <v>455</v>
      </c>
      <c r="S3" s="127" t="s">
        <v>456</v>
      </c>
      <c r="T3" s="127" t="s">
        <v>457</v>
      </c>
      <c r="U3" s="127" t="s">
        <v>458</v>
      </c>
      <c r="V3" s="127" t="s">
        <v>459</v>
      </c>
      <c r="W3" s="3" t="s">
        <v>20</v>
      </c>
      <c r="X3" s="3" t="s">
        <v>21</v>
      </c>
      <c r="Y3" s="3" t="s">
        <v>22</v>
      </c>
      <c r="Z3" s="3" t="s">
        <v>27</v>
      </c>
      <c r="AA3" s="3" t="s">
        <v>23</v>
      </c>
      <c r="AB3" s="3" t="s">
        <v>435</v>
      </c>
      <c r="AC3" s="4" t="s">
        <v>17</v>
      </c>
      <c r="AD3" s="3" t="s">
        <v>108</v>
      </c>
      <c r="AE3" s="3" t="s">
        <v>18</v>
      </c>
      <c r="AF3" s="3" t="s">
        <v>433</v>
      </c>
      <c r="AG3" s="3" t="s">
        <v>24</v>
      </c>
      <c r="AH3" s="3" t="s">
        <v>42</v>
      </c>
      <c r="AI3" s="3" t="s">
        <v>14</v>
      </c>
      <c r="AJ3" s="3" t="s">
        <v>7</v>
      </c>
      <c r="AK3" s="3" t="s">
        <v>110</v>
      </c>
      <c r="AL3" s="3" t="s">
        <v>11</v>
      </c>
      <c r="AM3" s="3" t="s">
        <v>12</v>
      </c>
      <c r="AN3" s="3" t="s">
        <v>111</v>
      </c>
      <c r="AO3" s="127" t="s">
        <v>454</v>
      </c>
      <c r="AP3" s="127" t="s">
        <v>455</v>
      </c>
      <c r="AQ3" s="127" t="s">
        <v>456</v>
      </c>
      <c r="AR3" s="127" t="s">
        <v>457</v>
      </c>
      <c r="AS3" s="127" t="s">
        <v>458</v>
      </c>
      <c r="AT3" s="127" t="s">
        <v>459</v>
      </c>
      <c r="AU3" s="3" t="s">
        <v>20</v>
      </c>
      <c r="AV3" s="3" t="s">
        <v>21</v>
      </c>
      <c r="AW3" s="3" t="s">
        <v>22</v>
      </c>
      <c r="AX3" s="3" t="s">
        <v>27</v>
      </c>
      <c r="AY3" s="3" t="s">
        <v>23</v>
      </c>
      <c r="AZ3" s="120" t="s">
        <v>435</v>
      </c>
      <c r="BB3" s="134" t="s">
        <v>500</v>
      </c>
    </row>
    <row r="4" spans="1:54" x14ac:dyDescent="0.25">
      <c r="A4">
        <v>5300266</v>
      </c>
      <c r="B4" t="s">
        <v>30</v>
      </c>
      <c r="C4" t="s">
        <v>4</v>
      </c>
      <c r="D4" s="133">
        <v>47790</v>
      </c>
      <c r="E4" t="s">
        <v>6</v>
      </c>
      <c r="F4" s="133">
        <v>45780</v>
      </c>
      <c r="I4" t="s">
        <v>29</v>
      </c>
      <c r="K4">
        <v>1000000</v>
      </c>
      <c r="L4" t="s">
        <v>9</v>
      </c>
      <c r="M4" s="61"/>
      <c r="Q4" s="136">
        <v>45969</v>
      </c>
      <c r="R4" s="136">
        <v>47065</v>
      </c>
      <c r="S4" s="135" t="s">
        <v>8</v>
      </c>
      <c r="T4" s="135" t="s">
        <v>9</v>
      </c>
      <c r="U4" s="135" t="s">
        <v>9</v>
      </c>
      <c r="V4" s="135" t="s">
        <v>10</v>
      </c>
      <c r="W4" t="s">
        <v>39</v>
      </c>
      <c r="X4" t="s">
        <v>45</v>
      </c>
      <c r="Y4" t="s">
        <v>40</v>
      </c>
      <c r="Z4" t="s">
        <v>43</v>
      </c>
      <c r="AA4">
        <v>11</v>
      </c>
      <c r="AC4" t="s">
        <v>32</v>
      </c>
      <c r="AD4" s="133">
        <v>45780</v>
      </c>
      <c r="AE4">
        <v>1</v>
      </c>
      <c r="AI4">
        <v>1000000</v>
      </c>
      <c r="AJ4" t="s">
        <v>197</v>
      </c>
      <c r="AK4" s="61"/>
      <c r="AO4" s="136">
        <v>45969</v>
      </c>
      <c r="AP4" s="136">
        <v>47065</v>
      </c>
      <c r="AQ4" s="135"/>
      <c r="AR4" s="135"/>
      <c r="AS4" s="135"/>
      <c r="AT4" s="135"/>
      <c r="AU4" t="s">
        <v>33</v>
      </c>
      <c r="AV4" t="s">
        <v>45</v>
      </c>
      <c r="AW4" t="s">
        <v>40</v>
      </c>
      <c r="AX4" t="s">
        <v>43</v>
      </c>
      <c r="AY4">
        <v>11</v>
      </c>
      <c r="BB4" s="135" t="s">
        <v>501</v>
      </c>
    </row>
    <row r="5" spans="1:54" x14ac:dyDescent="0.25">
      <c r="A5">
        <v>5003752</v>
      </c>
      <c r="B5" t="s">
        <v>30</v>
      </c>
      <c r="C5" t="s">
        <v>4</v>
      </c>
      <c r="D5" s="61" t="s">
        <v>463</v>
      </c>
      <c r="E5" t="s">
        <v>6</v>
      </c>
      <c r="F5" s="61" t="s">
        <v>464</v>
      </c>
      <c r="I5" t="s">
        <v>29</v>
      </c>
      <c r="K5">
        <v>2000000</v>
      </c>
      <c r="L5" t="s">
        <v>197</v>
      </c>
      <c r="M5" s="61"/>
      <c r="Q5" s="137" t="s">
        <v>465</v>
      </c>
      <c r="R5" s="137"/>
      <c r="S5" s="135" t="s">
        <v>8</v>
      </c>
      <c r="T5" s="135" t="s">
        <v>9</v>
      </c>
      <c r="U5" s="135"/>
      <c r="V5" s="135"/>
      <c r="W5" t="s">
        <v>39</v>
      </c>
      <c r="X5" t="s">
        <v>45</v>
      </c>
      <c r="Y5" t="s">
        <v>40</v>
      </c>
      <c r="Z5" t="s">
        <v>43</v>
      </c>
      <c r="AA5">
        <v>30</v>
      </c>
      <c r="AC5" t="s">
        <v>32</v>
      </c>
      <c r="AD5" s="61" t="s">
        <v>464</v>
      </c>
      <c r="AE5">
        <v>1.2</v>
      </c>
      <c r="AI5">
        <v>2000000</v>
      </c>
      <c r="AJ5" t="s">
        <v>197</v>
      </c>
      <c r="AK5" s="61"/>
      <c r="AO5" s="137" t="s">
        <v>465</v>
      </c>
      <c r="AP5" s="137"/>
      <c r="AQ5" s="135"/>
      <c r="AR5" s="135"/>
      <c r="AS5" s="135"/>
      <c r="AT5" s="135"/>
      <c r="AU5" t="s">
        <v>33</v>
      </c>
      <c r="AV5" t="s">
        <v>45</v>
      </c>
      <c r="AW5" t="s">
        <v>40</v>
      </c>
      <c r="AX5" t="s">
        <v>43</v>
      </c>
      <c r="AY5">
        <v>30</v>
      </c>
      <c r="BB5" s="135" t="s">
        <v>502</v>
      </c>
    </row>
    <row r="6" spans="1:54" x14ac:dyDescent="0.25">
      <c r="A6">
        <v>5779592</v>
      </c>
      <c r="B6" t="s">
        <v>30</v>
      </c>
      <c r="C6" t="s">
        <v>4</v>
      </c>
      <c r="D6" s="133">
        <v>47216</v>
      </c>
      <c r="E6" t="s">
        <v>6</v>
      </c>
      <c r="F6" s="133">
        <v>45021</v>
      </c>
      <c r="G6">
        <v>45</v>
      </c>
      <c r="I6" t="s">
        <v>29</v>
      </c>
      <c r="K6">
        <v>3500000</v>
      </c>
      <c r="L6" t="s">
        <v>197</v>
      </c>
      <c r="M6" s="61"/>
      <c r="P6">
        <v>4.5</v>
      </c>
      <c r="Q6" s="137"/>
      <c r="R6" s="136">
        <v>47213</v>
      </c>
      <c r="S6" s="135"/>
      <c r="T6" s="135"/>
      <c r="U6" s="135" t="s">
        <v>194</v>
      </c>
      <c r="V6" s="135" t="s">
        <v>8</v>
      </c>
      <c r="W6" t="s">
        <v>39</v>
      </c>
      <c r="X6" t="s">
        <v>466</v>
      </c>
      <c r="Y6" t="s">
        <v>467</v>
      </c>
      <c r="Z6" t="s">
        <v>44</v>
      </c>
      <c r="AA6">
        <v>4</v>
      </c>
      <c r="AC6" t="s">
        <v>32</v>
      </c>
      <c r="AD6" s="133">
        <v>45021</v>
      </c>
      <c r="AE6">
        <v>3</v>
      </c>
      <c r="AI6">
        <v>3500000</v>
      </c>
      <c r="AJ6" t="s">
        <v>197</v>
      </c>
      <c r="AK6" s="61"/>
      <c r="AO6" s="137"/>
      <c r="AP6" s="136">
        <v>47213</v>
      </c>
      <c r="AQ6" s="135"/>
      <c r="AR6" s="135"/>
      <c r="AS6" s="135"/>
      <c r="AT6" s="135"/>
      <c r="AU6" t="s">
        <v>33</v>
      </c>
      <c r="AV6" t="s">
        <v>466</v>
      </c>
      <c r="AW6" t="s">
        <v>467</v>
      </c>
      <c r="AX6" t="s">
        <v>43</v>
      </c>
      <c r="AY6">
        <v>4</v>
      </c>
      <c r="BB6" s="135" t="s">
        <v>503</v>
      </c>
    </row>
    <row r="7" spans="1:54" x14ac:dyDescent="0.25">
      <c r="A7">
        <v>5302372</v>
      </c>
      <c r="B7" t="s">
        <v>30</v>
      </c>
      <c r="C7" t="s">
        <v>4</v>
      </c>
      <c r="D7" s="133">
        <v>47606</v>
      </c>
      <c r="E7" t="s">
        <v>32</v>
      </c>
      <c r="F7" s="61" t="s">
        <v>468</v>
      </c>
      <c r="G7">
        <v>1</v>
      </c>
      <c r="K7">
        <v>1000000</v>
      </c>
      <c r="L7" t="s">
        <v>197</v>
      </c>
      <c r="M7" s="61"/>
      <c r="Q7" s="137"/>
      <c r="R7" s="137" t="s">
        <v>469</v>
      </c>
      <c r="S7" s="135"/>
      <c r="T7" s="135"/>
      <c r="U7" s="135"/>
      <c r="V7" s="135"/>
      <c r="W7" t="s">
        <v>33</v>
      </c>
      <c r="X7" t="s">
        <v>45</v>
      </c>
      <c r="Y7" t="s">
        <v>40</v>
      </c>
      <c r="Z7" t="s">
        <v>43</v>
      </c>
      <c r="AA7">
        <v>5</v>
      </c>
      <c r="AC7" t="s">
        <v>6</v>
      </c>
      <c r="AD7" s="133">
        <v>45780</v>
      </c>
      <c r="AG7" t="s">
        <v>29</v>
      </c>
      <c r="AI7">
        <v>1000000</v>
      </c>
      <c r="AJ7" t="s">
        <v>9</v>
      </c>
      <c r="AK7" s="61"/>
      <c r="AO7" s="137"/>
      <c r="AP7" s="137"/>
      <c r="AQ7" s="135"/>
      <c r="AR7" s="135"/>
      <c r="AS7" s="135"/>
      <c r="AT7" s="135"/>
      <c r="AU7" t="s">
        <v>39</v>
      </c>
      <c r="AV7" t="s">
        <v>45</v>
      </c>
      <c r="AW7" t="s">
        <v>40</v>
      </c>
      <c r="AX7" t="s">
        <v>43</v>
      </c>
      <c r="AY7">
        <v>5</v>
      </c>
      <c r="BB7" s="135" t="s">
        <v>504</v>
      </c>
    </row>
    <row r="8" spans="1:54" x14ac:dyDescent="0.25">
      <c r="A8">
        <v>4844622</v>
      </c>
      <c r="B8" t="s">
        <v>30</v>
      </c>
      <c r="C8" t="s">
        <v>4</v>
      </c>
      <c r="D8" s="61" t="s">
        <v>470</v>
      </c>
      <c r="E8" t="s">
        <v>6</v>
      </c>
      <c r="F8" s="61" t="s">
        <v>471</v>
      </c>
      <c r="G8">
        <v>28.5</v>
      </c>
      <c r="I8" t="s">
        <v>29</v>
      </c>
      <c r="K8">
        <v>20000000</v>
      </c>
      <c r="L8" t="s">
        <v>8</v>
      </c>
      <c r="M8" s="61"/>
      <c r="Q8" s="137" t="s">
        <v>475</v>
      </c>
      <c r="R8" s="137"/>
      <c r="S8" s="135" t="s">
        <v>34</v>
      </c>
      <c r="T8" s="135"/>
      <c r="U8" s="135"/>
      <c r="V8" s="135"/>
      <c r="W8" t="s">
        <v>39</v>
      </c>
      <c r="X8" t="s">
        <v>45</v>
      </c>
      <c r="Y8" t="s">
        <v>40</v>
      </c>
      <c r="Z8" t="s">
        <v>462</v>
      </c>
      <c r="AA8">
        <v>25</v>
      </c>
      <c r="AC8" t="s">
        <v>32</v>
      </c>
      <c r="AD8" s="61" t="s">
        <v>472</v>
      </c>
      <c r="AE8">
        <v>0.5</v>
      </c>
      <c r="AI8">
        <v>20000000</v>
      </c>
      <c r="AJ8" t="s">
        <v>197</v>
      </c>
      <c r="AK8" s="61"/>
      <c r="AO8" s="137"/>
      <c r="AP8" s="137"/>
      <c r="AQ8" s="135"/>
      <c r="AR8" s="135"/>
      <c r="AS8" s="135"/>
      <c r="AT8" s="135"/>
      <c r="AU8" t="s">
        <v>473</v>
      </c>
      <c r="AV8" t="s">
        <v>474</v>
      </c>
      <c r="AW8" t="s">
        <v>40</v>
      </c>
      <c r="AX8" t="s">
        <v>44</v>
      </c>
      <c r="AY8">
        <v>25</v>
      </c>
      <c r="BB8" s="135" t="s">
        <v>512</v>
      </c>
    </row>
    <row r="9" spans="1:54" x14ac:dyDescent="0.25">
      <c r="A9">
        <v>4991978</v>
      </c>
      <c r="B9" t="s">
        <v>1</v>
      </c>
      <c r="C9" t="s">
        <v>4</v>
      </c>
      <c r="D9" s="61" t="s">
        <v>476</v>
      </c>
      <c r="E9" t="s">
        <v>32</v>
      </c>
      <c r="F9" s="133">
        <v>45635</v>
      </c>
      <c r="G9">
        <v>1</v>
      </c>
      <c r="K9">
        <v>1000000</v>
      </c>
      <c r="L9" t="s">
        <v>197</v>
      </c>
      <c r="M9" s="133">
        <v>45635</v>
      </c>
      <c r="Q9" s="137" t="s">
        <v>477</v>
      </c>
      <c r="R9" s="137" t="s">
        <v>478</v>
      </c>
      <c r="S9" s="135"/>
      <c r="T9" s="135"/>
      <c r="U9" s="135"/>
      <c r="V9" s="135"/>
      <c r="W9" t="s">
        <v>33</v>
      </c>
      <c r="X9" t="s">
        <v>45</v>
      </c>
      <c r="Y9" t="s">
        <v>40</v>
      </c>
      <c r="Z9" t="s">
        <v>43</v>
      </c>
      <c r="AA9">
        <v>14</v>
      </c>
      <c r="AC9" t="s">
        <v>6</v>
      </c>
      <c r="AD9" s="133">
        <v>45635</v>
      </c>
      <c r="AG9" t="s">
        <v>29</v>
      </c>
      <c r="AI9">
        <v>1000000</v>
      </c>
      <c r="AJ9" t="s">
        <v>8</v>
      </c>
      <c r="AK9" s="133">
        <v>45635</v>
      </c>
      <c r="AO9" s="137" t="s">
        <v>477</v>
      </c>
      <c r="AP9" s="137" t="s">
        <v>478</v>
      </c>
      <c r="AQ9" s="135" t="s">
        <v>34</v>
      </c>
      <c r="AR9" s="135"/>
      <c r="AS9" s="135" t="s">
        <v>34</v>
      </c>
      <c r="AT9" s="135" t="s">
        <v>194</v>
      </c>
      <c r="AU9" t="s">
        <v>39</v>
      </c>
      <c r="AV9" t="s">
        <v>45</v>
      </c>
      <c r="AW9" t="s">
        <v>40</v>
      </c>
      <c r="AX9" t="s">
        <v>43</v>
      </c>
      <c r="AY9">
        <v>14</v>
      </c>
      <c r="BB9" s="135" t="s">
        <v>505</v>
      </c>
    </row>
    <row r="10" spans="1:54" x14ac:dyDescent="0.25">
      <c r="A10">
        <v>4991978</v>
      </c>
      <c r="B10" t="s">
        <v>1</v>
      </c>
      <c r="C10" t="s">
        <v>4</v>
      </c>
      <c r="D10" s="61" t="s">
        <v>476</v>
      </c>
      <c r="E10" t="s">
        <v>32</v>
      </c>
      <c r="F10" s="133">
        <v>45635</v>
      </c>
      <c r="G10">
        <v>1</v>
      </c>
      <c r="K10">
        <v>2000000</v>
      </c>
      <c r="L10" t="s">
        <v>197</v>
      </c>
      <c r="M10" s="61" t="s">
        <v>477</v>
      </c>
      <c r="Q10" s="137" t="s">
        <v>477</v>
      </c>
      <c r="R10" s="137" t="s">
        <v>478</v>
      </c>
      <c r="S10" s="135"/>
      <c r="T10" s="135"/>
      <c r="U10" s="135"/>
      <c r="V10" s="135"/>
      <c r="W10" t="s">
        <v>33</v>
      </c>
      <c r="X10" t="s">
        <v>45</v>
      </c>
      <c r="Y10" t="s">
        <v>40</v>
      </c>
      <c r="Z10" t="s">
        <v>43</v>
      </c>
      <c r="AA10">
        <v>14</v>
      </c>
      <c r="AC10" t="s">
        <v>6</v>
      </c>
      <c r="AD10" s="133">
        <v>45635</v>
      </c>
      <c r="AG10" t="s">
        <v>29</v>
      </c>
      <c r="AI10">
        <v>2000000</v>
      </c>
      <c r="AJ10" t="s">
        <v>8</v>
      </c>
      <c r="AK10" s="61" t="s">
        <v>477</v>
      </c>
      <c r="AO10" s="137" t="s">
        <v>477</v>
      </c>
      <c r="AP10" s="137" t="s">
        <v>478</v>
      </c>
      <c r="AQ10" s="135" t="s">
        <v>34</v>
      </c>
      <c r="AR10" s="135"/>
      <c r="AS10" s="135" t="s">
        <v>34</v>
      </c>
      <c r="AT10" s="135" t="s">
        <v>194</v>
      </c>
      <c r="AU10" t="s">
        <v>39</v>
      </c>
      <c r="AV10" t="s">
        <v>45</v>
      </c>
      <c r="AW10" t="s">
        <v>40</v>
      </c>
      <c r="AX10" t="s">
        <v>43</v>
      </c>
      <c r="AY10">
        <v>14</v>
      </c>
      <c r="BB10" s="135"/>
    </row>
    <row r="11" spans="1:54" x14ac:dyDescent="0.25">
      <c r="A11">
        <v>4991978</v>
      </c>
      <c r="B11" t="s">
        <v>1</v>
      </c>
      <c r="C11" t="s">
        <v>4</v>
      </c>
      <c r="D11" s="61" t="s">
        <v>476</v>
      </c>
      <c r="E11" t="s">
        <v>32</v>
      </c>
      <c r="F11" s="133">
        <v>45635</v>
      </c>
      <c r="G11">
        <v>1</v>
      </c>
      <c r="K11">
        <v>1000000</v>
      </c>
      <c r="L11" t="s">
        <v>197</v>
      </c>
      <c r="M11" s="61" t="s">
        <v>478</v>
      </c>
      <c r="Q11" s="137" t="s">
        <v>477</v>
      </c>
      <c r="R11" s="137" t="s">
        <v>478</v>
      </c>
      <c r="S11" s="135"/>
      <c r="T11" s="135"/>
      <c r="U11" s="135"/>
      <c r="V11" s="135"/>
      <c r="W11" t="s">
        <v>33</v>
      </c>
      <c r="X11" t="s">
        <v>45</v>
      </c>
      <c r="Y11" t="s">
        <v>40</v>
      </c>
      <c r="Z11" t="s">
        <v>43</v>
      </c>
      <c r="AA11">
        <v>14</v>
      </c>
      <c r="AC11" t="s">
        <v>6</v>
      </c>
      <c r="AD11" s="133">
        <v>45635</v>
      </c>
      <c r="AG11" t="s">
        <v>29</v>
      </c>
      <c r="AI11">
        <v>2000000</v>
      </c>
      <c r="AJ11" t="s">
        <v>8</v>
      </c>
      <c r="AK11" s="61" t="s">
        <v>479</v>
      </c>
      <c r="AO11" s="137" t="s">
        <v>477</v>
      </c>
      <c r="AP11" s="137" t="s">
        <v>478</v>
      </c>
      <c r="AQ11" s="135" t="s">
        <v>34</v>
      </c>
      <c r="AR11" s="135"/>
      <c r="AS11" s="135" t="s">
        <v>34</v>
      </c>
      <c r="AT11" s="135" t="s">
        <v>194</v>
      </c>
      <c r="AU11" t="s">
        <v>39</v>
      </c>
      <c r="AV11" t="s">
        <v>45</v>
      </c>
      <c r="AW11" t="s">
        <v>40</v>
      </c>
      <c r="AX11" t="s">
        <v>43</v>
      </c>
      <c r="AY11">
        <v>14</v>
      </c>
      <c r="BB11" s="135"/>
    </row>
    <row r="12" spans="1:54" x14ac:dyDescent="0.25">
      <c r="A12">
        <v>4991978</v>
      </c>
      <c r="B12" t="s">
        <v>1</v>
      </c>
      <c r="C12" t="s">
        <v>4</v>
      </c>
      <c r="D12" s="61" t="s">
        <v>476</v>
      </c>
      <c r="F12" s="61"/>
      <c r="M12" s="61"/>
      <c r="Q12" s="137"/>
      <c r="R12" s="137"/>
      <c r="S12" s="135"/>
      <c r="T12" s="135"/>
      <c r="U12" s="135"/>
      <c r="V12" s="135"/>
      <c r="AC12" t="s">
        <v>6</v>
      </c>
      <c r="AD12" s="133">
        <v>45635</v>
      </c>
      <c r="AG12" t="s">
        <v>29</v>
      </c>
      <c r="AI12">
        <v>2000000</v>
      </c>
      <c r="AJ12" t="s">
        <v>8</v>
      </c>
      <c r="AK12" s="61" t="s">
        <v>480</v>
      </c>
      <c r="AO12" s="137" t="s">
        <v>477</v>
      </c>
      <c r="AP12" s="137" t="s">
        <v>478</v>
      </c>
      <c r="AQ12" s="135" t="s">
        <v>34</v>
      </c>
      <c r="AR12" s="135"/>
      <c r="AS12" s="135" t="s">
        <v>34</v>
      </c>
      <c r="AT12" s="135" t="s">
        <v>194</v>
      </c>
      <c r="AU12" t="s">
        <v>39</v>
      </c>
      <c r="AV12" t="s">
        <v>45</v>
      </c>
      <c r="AW12" t="s">
        <v>40</v>
      </c>
      <c r="AX12" t="s">
        <v>43</v>
      </c>
      <c r="AY12">
        <v>14</v>
      </c>
      <c r="BB12" s="135"/>
    </row>
    <row r="13" spans="1:54" x14ac:dyDescent="0.25">
      <c r="A13">
        <v>4991978</v>
      </c>
      <c r="B13" t="s">
        <v>1</v>
      </c>
      <c r="C13" t="s">
        <v>4</v>
      </c>
      <c r="D13" s="61" t="s">
        <v>476</v>
      </c>
      <c r="F13" s="61"/>
      <c r="M13" s="61"/>
      <c r="Q13" s="137"/>
      <c r="R13" s="137"/>
      <c r="S13" s="135"/>
      <c r="T13" s="135"/>
      <c r="U13" s="135"/>
      <c r="V13" s="135"/>
      <c r="AC13" t="s">
        <v>6</v>
      </c>
      <c r="AD13" s="133">
        <v>45635</v>
      </c>
      <c r="AG13" t="s">
        <v>29</v>
      </c>
      <c r="AI13">
        <v>2000000</v>
      </c>
      <c r="AJ13" t="s">
        <v>8</v>
      </c>
      <c r="AK13" s="61" t="s">
        <v>481</v>
      </c>
      <c r="AO13" s="137" t="s">
        <v>477</v>
      </c>
      <c r="AP13" s="137" t="s">
        <v>478</v>
      </c>
      <c r="AQ13" s="135" t="s">
        <v>34</v>
      </c>
      <c r="AR13" s="135"/>
      <c r="AS13" s="135" t="s">
        <v>34</v>
      </c>
      <c r="AT13" s="135" t="s">
        <v>194</v>
      </c>
      <c r="AU13" t="s">
        <v>39</v>
      </c>
      <c r="AV13" t="s">
        <v>45</v>
      </c>
      <c r="AW13" t="s">
        <v>40</v>
      </c>
      <c r="AX13" t="s">
        <v>43</v>
      </c>
      <c r="AY13">
        <v>14</v>
      </c>
      <c r="BB13" s="135"/>
    </row>
    <row r="14" spans="1:54" x14ac:dyDescent="0.25">
      <c r="A14">
        <v>4991978</v>
      </c>
      <c r="B14" t="s">
        <v>1</v>
      </c>
      <c r="C14" t="s">
        <v>4</v>
      </c>
      <c r="D14" s="61" t="s">
        <v>476</v>
      </c>
      <c r="F14" s="61"/>
      <c r="M14" s="61"/>
      <c r="Q14" s="137"/>
      <c r="R14" s="137"/>
      <c r="S14" s="135"/>
      <c r="T14" s="135"/>
      <c r="U14" s="135"/>
      <c r="V14" s="135"/>
      <c r="AC14" t="s">
        <v>6</v>
      </c>
      <c r="AD14" s="133">
        <v>45635</v>
      </c>
      <c r="AG14" t="s">
        <v>29</v>
      </c>
      <c r="AI14">
        <v>1000000</v>
      </c>
      <c r="AJ14" t="s">
        <v>8</v>
      </c>
      <c r="AK14" s="61" t="s">
        <v>478</v>
      </c>
      <c r="AO14" s="137" t="s">
        <v>477</v>
      </c>
      <c r="AP14" s="137" t="s">
        <v>478</v>
      </c>
      <c r="AQ14" s="135" t="s">
        <v>34</v>
      </c>
      <c r="AR14" s="135"/>
      <c r="AS14" s="135" t="s">
        <v>34</v>
      </c>
      <c r="AT14" s="135" t="s">
        <v>194</v>
      </c>
      <c r="AU14" t="s">
        <v>39</v>
      </c>
      <c r="AV14" t="s">
        <v>45</v>
      </c>
      <c r="AW14" t="s">
        <v>40</v>
      </c>
      <c r="AX14" t="s">
        <v>43</v>
      </c>
      <c r="AY14">
        <v>14</v>
      </c>
      <c r="BB14" s="135"/>
    </row>
    <row r="15" spans="1:54" x14ac:dyDescent="0.25">
      <c r="A15">
        <v>5296811</v>
      </c>
      <c r="B15" t="s">
        <v>1</v>
      </c>
      <c r="C15" t="s">
        <v>4</v>
      </c>
      <c r="D15" s="61" t="s">
        <v>482</v>
      </c>
      <c r="E15" t="s">
        <v>6</v>
      </c>
      <c r="F15" s="61" t="s">
        <v>483</v>
      </c>
      <c r="I15" t="s">
        <v>29</v>
      </c>
      <c r="K15">
        <v>23965853.010000002</v>
      </c>
      <c r="L15" t="s">
        <v>8</v>
      </c>
      <c r="M15" s="61" t="s">
        <v>483</v>
      </c>
      <c r="Q15" s="137"/>
      <c r="R15" s="137" t="s">
        <v>499</v>
      </c>
      <c r="S15" s="135"/>
      <c r="T15" s="135"/>
      <c r="U15" s="135" t="s">
        <v>194</v>
      </c>
      <c r="V15" s="135" t="s">
        <v>8</v>
      </c>
      <c r="W15" t="s">
        <v>39</v>
      </c>
      <c r="X15" t="s">
        <v>45</v>
      </c>
      <c r="Y15" t="s">
        <v>40</v>
      </c>
      <c r="Z15" t="s">
        <v>43</v>
      </c>
      <c r="AA15" t="s">
        <v>484</v>
      </c>
      <c r="AC15" t="s">
        <v>32</v>
      </c>
      <c r="AD15" s="61" t="s">
        <v>483</v>
      </c>
      <c r="AE15">
        <v>2.5545</v>
      </c>
      <c r="AI15">
        <v>23965853.010000002</v>
      </c>
      <c r="AJ15" t="s">
        <v>8</v>
      </c>
      <c r="AK15" s="61" t="s">
        <v>483</v>
      </c>
      <c r="AO15" s="137"/>
      <c r="AP15" s="137" t="s">
        <v>499</v>
      </c>
      <c r="AQ15" s="135"/>
      <c r="AR15" s="135"/>
      <c r="AS15" s="135"/>
      <c r="AT15" s="135"/>
      <c r="AU15" t="s">
        <v>39</v>
      </c>
      <c r="AV15" t="s">
        <v>45</v>
      </c>
      <c r="AW15" t="s">
        <v>40</v>
      </c>
      <c r="AX15" t="s">
        <v>43</v>
      </c>
      <c r="AY15" t="s">
        <v>484</v>
      </c>
      <c r="BB15" s="135" t="s">
        <v>506</v>
      </c>
    </row>
    <row r="16" spans="1:54" x14ac:dyDescent="0.25">
      <c r="A16">
        <v>5296811</v>
      </c>
      <c r="B16" t="s">
        <v>1</v>
      </c>
      <c r="C16" t="s">
        <v>4</v>
      </c>
      <c r="D16" s="61" t="s">
        <v>482</v>
      </c>
      <c r="E16" t="s">
        <v>6</v>
      </c>
      <c r="F16" s="61" t="s">
        <v>483</v>
      </c>
      <c r="I16" t="s">
        <v>29</v>
      </c>
      <c r="K16">
        <v>23796112.199999999</v>
      </c>
      <c r="L16" t="s">
        <v>8</v>
      </c>
      <c r="M16" s="61" t="s">
        <v>485</v>
      </c>
      <c r="Q16" s="137"/>
      <c r="R16" s="137" t="s">
        <v>499</v>
      </c>
      <c r="S16" s="135"/>
      <c r="T16" s="135"/>
      <c r="U16" s="135" t="s">
        <v>194</v>
      </c>
      <c r="V16" s="135" t="s">
        <v>8</v>
      </c>
      <c r="W16" t="s">
        <v>39</v>
      </c>
      <c r="X16" t="s">
        <v>45</v>
      </c>
      <c r="Y16" t="s">
        <v>40</v>
      </c>
      <c r="Z16" t="s">
        <v>43</v>
      </c>
      <c r="AA16" t="s">
        <v>484</v>
      </c>
      <c r="AC16" t="s">
        <v>32</v>
      </c>
      <c r="AD16" s="61" t="s">
        <v>483</v>
      </c>
      <c r="AE16">
        <v>2.5545</v>
      </c>
      <c r="AI16">
        <v>23796112.199999999</v>
      </c>
      <c r="AJ16" t="s">
        <v>8</v>
      </c>
      <c r="AK16" s="61" t="s">
        <v>485</v>
      </c>
      <c r="AO16" s="137"/>
      <c r="AP16" s="137" t="s">
        <v>499</v>
      </c>
      <c r="AQ16" s="135"/>
      <c r="AR16" s="135"/>
      <c r="AS16" s="135"/>
      <c r="AT16" s="135"/>
      <c r="AU16" t="s">
        <v>39</v>
      </c>
      <c r="AV16" t="s">
        <v>45</v>
      </c>
      <c r="AW16" t="s">
        <v>40</v>
      </c>
      <c r="AX16" t="s">
        <v>43</v>
      </c>
      <c r="AY16" t="s">
        <v>484</v>
      </c>
      <c r="BB16" s="135"/>
    </row>
    <row r="17" spans="1:54" x14ac:dyDescent="0.25">
      <c r="A17">
        <v>5296811</v>
      </c>
      <c r="B17" t="s">
        <v>1</v>
      </c>
      <c r="C17" t="s">
        <v>4</v>
      </c>
      <c r="D17" s="61" t="s">
        <v>482</v>
      </c>
      <c r="E17" t="s">
        <v>6</v>
      </c>
      <c r="F17" s="61" t="s">
        <v>483</v>
      </c>
      <c r="I17" t="s">
        <v>29</v>
      </c>
      <c r="K17">
        <v>23626371.390000001</v>
      </c>
      <c r="L17" t="s">
        <v>8</v>
      </c>
      <c r="M17" s="61" t="s">
        <v>486</v>
      </c>
      <c r="Q17" s="137"/>
      <c r="R17" s="137" t="s">
        <v>499</v>
      </c>
      <c r="S17" s="135"/>
      <c r="T17" s="135"/>
      <c r="U17" s="135" t="s">
        <v>194</v>
      </c>
      <c r="V17" s="135" t="s">
        <v>8</v>
      </c>
      <c r="W17" t="s">
        <v>39</v>
      </c>
      <c r="X17" t="s">
        <v>45</v>
      </c>
      <c r="Y17" t="s">
        <v>40</v>
      </c>
      <c r="Z17" t="s">
        <v>43</v>
      </c>
      <c r="AA17" t="s">
        <v>484</v>
      </c>
      <c r="AC17" t="s">
        <v>32</v>
      </c>
      <c r="AD17" s="61" t="s">
        <v>483</v>
      </c>
      <c r="AE17">
        <v>2.5545</v>
      </c>
      <c r="AI17">
        <v>23626371.390000001</v>
      </c>
      <c r="AJ17" t="s">
        <v>8</v>
      </c>
      <c r="AK17" s="61" t="s">
        <v>486</v>
      </c>
      <c r="AO17" s="137"/>
      <c r="AP17" s="137" t="s">
        <v>499</v>
      </c>
      <c r="AQ17" s="135"/>
      <c r="AR17" s="135"/>
      <c r="AS17" s="135"/>
      <c r="AT17" s="135"/>
      <c r="AU17" t="s">
        <v>39</v>
      </c>
      <c r="AV17" t="s">
        <v>45</v>
      </c>
      <c r="AW17" t="s">
        <v>40</v>
      </c>
      <c r="AX17" t="s">
        <v>43</v>
      </c>
      <c r="AY17" t="s">
        <v>484</v>
      </c>
      <c r="BB17" s="135"/>
    </row>
    <row r="18" spans="1:54" x14ac:dyDescent="0.25">
      <c r="A18">
        <v>5296811</v>
      </c>
      <c r="B18" t="s">
        <v>1</v>
      </c>
      <c r="C18" t="s">
        <v>4</v>
      </c>
      <c r="D18" s="61" t="s">
        <v>482</v>
      </c>
      <c r="E18" t="s">
        <v>6</v>
      </c>
      <c r="F18" s="61" t="s">
        <v>483</v>
      </c>
      <c r="I18" t="s">
        <v>29</v>
      </c>
      <c r="K18">
        <v>23456630.579999998</v>
      </c>
      <c r="L18" t="s">
        <v>8</v>
      </c>
      <c r="M18" s="61" t="s">
        <v>487</v>
      </c>
      <c r="Q18" s="137"/>
      <c r="R18" s="137" t="s">
        <v>499</v>
      </c>
      <c r="S18" s="135"/>
      <c r="T18" s="135"/>
      <c r="U18" s="135" t="s">
        <v>194</v>
      </c>
      <c r="V18" s="135" t="s">
        <v>8</v>
      </c>
      <c r="W18" t="s">
        <v>39</v>
      </c>
      <c r="X18" t="s">
        <v>45</v>
      </c>
      <c r="Y18" t="s">
        <v>40</v>
      </c>
      <c r="Z18" t="s">
        <v>43</v>
      </c>
      <c r="AA18" t="s">
        <v>484</v>
      </c>
      <c r="AC18" t="s">
        <v>32</v>
      </c>
      <c r="AD18" s="61" t="s">
        <v>483</v>
      </c>
      <c r="AE18">
        <v>2.5545</v>
      </c>
      <c r="AI18">
        <v>23456630.579999998</v>
      </c>
      <c r="AJ18" t="s">
        <v>8</v>
      </c>
      <c r="AK18" s="61" t="s">
        <v>487</v>
      </c>
      <c r="AO18" s="137"/>
      <c r="AP18" s="137" t="s">
        <v>499</v>
      </c>
      <c r="AQ18" s="135"/>
      <c r="AR18" s="135"/>
      <c r="AS18" s="135"/>
      <c r="AT18" s="135"/>
      <c r="AU18" t="s">
        <v>39</v>
      </c>
      <c r="AV18" t="s">
        <v>45</v>
      </c>
      <c r="AW18" t="s">
        <v>40</v>
      </c>
      <c r="AX18" t="s">
        <v>43</v>
      </c>
      <c r="AY18" t="s">
        <v>484</v>
      </c>
      <c r="BB18" s="135"/>
    </row>
    <row r="19" spans="1:54" x14ac:dyDescent="0.25">
      <c r="A19">
        <v>5296811</v>
      </c>
      <c r="B19" t="s">
        <v>1</v>
      </c>
      <c r="C19" t="s">
        <v>4</v>
      </c>
      <c r="D19" s="61" t="s">
        <v>482</v>
      </c>
      <c r="E19" t="s">
        <v>6</v>
      </c>
      <c r="F19" s="61" t="s">
        <v>483</v>
      </c>
      <c r="I19" t="s">
        <v>29</v>
      </c>
      <c r="K19">
        <v>23286889.77</v>
      </c>
      <c r="L19" t="s">
        <v>8</v>
      </c>
      <c r="M19" s="61" t="s">
        <v>488</v>
      </c>
      <c r="Q19" s="137"/>
      <c r="R19" s="137" t="s">
        <v>499</v>
      </c>
      <c r="S19" s="135"/>
      <c r="T19" s="135"/>
      <c r="U19" s="135" t="s">
        <v>194</v>
      </c>
      <c r="V19" s="135" t="s">
        <v>8</v>
      </c>
      <c r="W19" t="s">
        <v>39</v>
      </c>
      <c r="X19" t="s">
        <v>45</v>
      </c>
      <c r="Y19" t="s">
        <v>40</v>
      </c>
      <c r="Z19" t="s">
        <v>43</v>
      </c>
      <c r="AA19" t="s">
        <v>484</v>
      </c>
      <c r="AC19" t="s">
        <v>32</v>
      </c>
      <c r="AD19" s="61" t="s">
        <v>483</v>
      </c>
      <c r="AE19">
        <v>2.5545</v>
      </c>
      <c r="AI19">
        <v>23286889.77</v>
      </c>
      <c r="AJ19" t="s">
        <v>8</v>
      </c>
      <c r="AK19" s="61" t="s">
        <v>488</v>
      </c>
      <c r="AO19" s="137"/>
      <c r="AP19" s="137" t="s">
        <v>499</v>
      </c>
      <c r="AQ19" s="135"/>
      <c r="AR19" s="135"/>
      <c r="AS19" s="135"/>
      <c r="AT19" s="135"/>
      <c r="AU19" t="s">
        <v>39</v>
      </c>
      <c r="AV19" t="s">
        <v>45</v>
      </c>
      <c r="AW19" t="s">
        <v>40</v>
      </c>
      <c r="AX19" t="s">
        <v>43</v>
      </c>
      <c r="AY19" t="s">
        <v>484</v>
      </c>
      <c r="BB19" s="135"/>
    </row>
    <row r="20" spans="1:54" x14ac:dyDescent="0.25">
      <c r="A20">
        <v>5296811</v>
      </c>
      <c r="B20" t="s">
        <v>1</v>
      </c>
      <c r="C20" t="s">
        <v>4</v>
      </c>
      <c r="D20" s="61" t="s">
        <v>482</v>
      </c>
      <c r="E20" t="s">
        <v>6</v>
      </c>
      <c r="F20" s="61" t="s">
        <v>483</v>
      </c>
      <c r="I20" t="s">
        <v>29</v>
      </c>
      <c r="K20">
        <v>23117148.960000001</v>
      </c>
      <c r="L20" t="s">
        <v>8</v>
      </c>
      <c r="M20" s="61" t="s">
        <v>489</v>
      </c>
      <c r="Q20" s="137"/>
      <c r="R20" s="137" t="s">
        <v>499</v>
      </c>
      <c r="S20" s="135"/>
      <c r="T20" s="135"/>
      <c r="U20" s="135" t="s">
        <v>194</v>
      </c>
      <c r="V20" s="135" t="s">
        <v>8</v>
      </c>
      <c r="W20" t="s">
        <v>39</v>
      </c>
      <c r="X20" t="s">
        <v>45</v>
      </c>
      <c r="Y20" t="s">
        <v>40</v>
      </c>
      <c r="Z20" t="s">
        <v>43</v>
      </c>
      <c r="AA20" t="s">
        <v>484</v>
      </c>
      <c r="AC20" t="s">
        <v>32</v>
      </c>
      <c r="AD20" s="61" t="s">
        <v>483</v>
      </c>
      <c r="AE20">
        <v>2.5545</v>
      </c>
      <c r="AI20">
        <v>23117148.960000001</v>
      </c>
      <c r="AJ20" t="s">
        <v>8</v>
      </c>
      <c r="AK20" s="61" t="s">
        <v>489</v>
      </c>
      <c r="AO20" s="137"/>
      <c r="AP20" s="137" t="s">
        <v>499</v>
      </c>
      <c r="AQ20" s="135"/>
      <c r="AR20" s="135"/>
      <c r="AS20" s="135"/>
      <c r="AT20" s="135"/>
      <c r="AU20" t="s">
        <v>39</v>
      </c>
      <c r="AV20" t="s">
        <v>45</v>
      </c>
      <c r="AW20" t="s">
        <v>40</v>
      </c>
      <c r="AX20" t="s">
        <v>43</v>
      </c>
      <c r="AY20" t="s">
        <v>484</v>
      </c>
      <c r="BB20" s="135"/>
    </row>
    <row r="21" spans="1:54" x14ac:dyDescent="0.25">
      <c r="A21">
        <v>5296811</v>
      </c>
      <c r="B21" t="s">
        <v>1</v>
      </c>
      <c r="C21" t="s">
        <v>4</v>
      </c>
      <c r="D21" s="61" t="s">
        <v>482</v>
      </c>
      <c r="E21" t="s">
        <v>6</v>
      </c>
      <c r="F21" s="61" t="s">
        <v>483</v>
      </c>
      <c r="I21" t="s">
        <v>29</v>
      </c>
      <c r="K21">
        <v>22947408.149999999</v>
      </c>
      <c r="L21" t="s">
        <v>8</v>
      </c>
      <c r="M21" s="61" t="s">
        <v>490</v>
      </c>
      <c r="Q21" s="137"/>
      <c r="R21" s="137" t="s">
        <v>499</v>
      </c>
      <c r="S21" s="135"/>
      <c r="T21" s="135"/>
      <c r="U21" s="135" t="s">
        <v>194</v>
      </c>
      <c r="V21" s="135" t="s">
        <v>8</v>
      </c>
      <c r="W21" t="s">
        <v>39</v>
      </c>
      <c r="X21" t="s">
        <v>45</v>
      </c>
      <c r="Y21" t="s">
        <v>40</v>
      </c>
      <c r="Z21" t="s">
        <v>43</v>
      </c>
      <c r="AA21" t="s">
        <v>484</v>
      </c>
      <c r="AC21" t="s">
        <v>32</v>
      </c>
      <c r="AD21" s="61" t="s">
        <v>483</v>
      </c>
      <c r="AE21">
        <v>2.5545</v>
      </c>
      <c r="AI21">
        <v>22947408.149999999</v>
      </c>
      <c r="AJ21" t="s">
        <v>8</v>
      </c>
      <c r="AK21" s="61" t="s">
        <v>490</v>
      </c>
      <c r="AO21" s="137"/>
      <c r="AP21" s="137" t="s">
        <v>499</v>
      </c>
      <c r="AQ21" s="135"/>
      <c r="AR21" s="135"/>
      <c r="AS21" s="135"/>
      <c r="AT21" s="135"/>
      <c r="AU21" t="s">
        <v>39</v>
      </c>
      <c r="AV21" t="s">
        <v>45</v>
      </c>
      <c r="AW21" t="s">
        <v>40</v>
      </c>
      <c r="AX21" t="s">
        <v>43</v>
      </c>
      <c r="AY21" t="s">
        <v>484</v>
      </c>
      <c r="BB21" s="135"/>
    </row>
    <row r="22" spans="1:54" x14ac:dyDescent="0.25">
      <c r="A22">
        <v>5296811</v>
      </c>
      <c r="B22" t="s">
        <v>1</v>
      </c>
      <c r="C22" t="s">
        <v>4</v>
      </c>
      <c r="D22" s="61" t="s">
        <v>482</v>
      </c>
      <c r="E22" t="s">
        <v>6</v>
      </c>
      <c r="F22" s="61" t="s">
        <v>483</v>
      </c>
      <c r="I22" t="s">
        <v>29</v>
      </c>
      <c r="K22">
        <v>22777667.34</v>
      </c>
      <c r="L22" t="s">
        <v>8</v>
      </c>
      <c r="M22" s="61" t="s">
        <v>491</v>
      </c>
      <c r="Q22" s="137"/>
      <c r="R22" s="137" t="s">
        <v>499</v>
      </c>
      <c r="S22" s="135"/>
      <c r="T22" s="135"/>
      <c r="U22" s="135" t="s">
        <v>194</v>
      </c>
      <c r="V22" s="135" t="s">
        <v>8</v>
      </c>
      <c r="W22" t="s">
        <v>39</v>
      </c>
      <c r="X22" t="s">
        <v>45</v>
      </c>
      <c r="Y22" t="s">
        <v>40</v>
      </c>
      <c r="Z22" t="s">
        <v>43</v>
      </c>
      <c r="AA22" t="s">
        <v>484</v>
      </c>
      <c r="AC22" t="s">
        <v>32</v>
      </c>
      <c r="AD22" s="61" t="s">
        <v>483</v>
      </c>
      <c r="AE22">
        <v>2.5545</v>
      </c>
      <c r="AI22">
        <v>22777667.34</v>
      </c>
      <c r="AJ22" t="s">
        <v>8</v>
      </c>
      <c r="AK22" s="61" t="s">
        <v>491</v>
      </c>
      <c r="AO22" s="137"/>
      <c r="AP22" s="137" t="s">
        <v>499</v>
      </c>
      <c r="AQ22" s="135"/>
      <c r="AR22" s="135"/>
      <c r="AS22" s="135"/>
      <c r="AT22" s="135"/>
      <c r="AU22" t="s">
        <v>39</v>
      </c>
      <c r="AV22" t="s">
        <v>45</v>
      </c>
      <c r="AW22" t="s">
        <v>40</v>
      </c>
      <c r="AX22" t="s">
        <v>43</v>
      </c>
      <c r="AY22" t="s">
        <v>484</v>
      </c>
      <c r="BB22" s="135"/>
    </row>
    <row r="23" spans="1:54" x14ac:dyDescent="0.25">
      <c r="A23">
        <v>5296811</v>
      </c>
      <c r="B23" t="s">
        <v>1</v>
      </c>
      <c r="C23" t="s">
        <v>4</v>
      </c>
      <c r="D23" s="61" t="s">
        <v>482</v>
      </c>
      <c r="E23" t="s">
        <v>6</v>
      </c>
      <c r="F23" s="61" t="s">
        <v>483</v>
      </c>
      <c r="I23" t="s">
        <v>29</v>
      </c>
      <c r="K23">
        <v>22607926.530000001</v>
      </c>
      <c r="L23" t="s">
        <v>8</v>
      </c>
      <c r="M23" s="61" t="s">
        <v>492</v>
      </c>
      <c r="Q23" s="137"/>
      <c r="R23" s="137" t="s">
        <v>499</v>
      </c>
      <c r="S23" s="135"/>
      <c r="T23" s="135"/>
      <c r="U23" s="135" t="s">
        <v>194</v>
      </c>
      <c r="V23" s="135" t="s">
        <v>8</v>
      </c>
      <c r="W23" t="s">
        <v>39</v>
      </c>
      <c r="X23" t="s">
        <v>45</v>
      </c>
      <c r="Y23" t="s">
        <v>40</v>
      </c>
      <c r="Z23" t="s">
        <v>43</v>
      </c>
      <c r="AA23" t="s">
        <v>484</v>
      </c>
      <c r="AC23" t="s">
        <v>32</v>
      </c>
      <c r="AD23" s="61" t="s">
        <v>483</v>
      </c>
      <c r="AE23">
        <v>2.5545</v>
      </c>
      <c r="AI23">
        <v>22607926.530000001</v>
      </c>
      <c r="AJ23" t="s">
        <v>8</v>
      </c>
      <c r="AK23" s="61" t="s">
        <v>492</v>
      </c>
      <c r="AO23" s="137"/>
      <c r="AP23" s="137" t="s">
        <v>499</v>
      </c>
      <c r="AQ23" s="135"/>
      <c r="AR23" s="135"/>
      <c r="AS23" s="135"/>
      <c r="AT23" s="135"/>
      <c r="AU23" t="s">
        <v>39</v>
      </c>
      <c r="AV23" t="s">
        <v>45</v>
      </c>
      <c r="AW23" t="s">
        <v>40</v>
      </c>
      <c r="AX23" t="s">
        <v>43</v>
      </c>
      <c r="AY23" t="s">
        <v>484</v>
      </c>
      <c r="BB23" s="135"/>
    </row>
    <row r="24" spans="1:54" x14ac:dyDescent="0.25">
      <c r="A24">
        <v>5296811</v>
      </c>
      <c r="B24" t="s">
        <v>1</v>
      </c>
      <c r="C24" t="s">
        <v>4</v>
      </c>
      <c r="D24" s="61" t="s">
        <v>482</v>
      </c>
      <c r="E24" t="s">
        <v>6</v>
      </c>
      <c r="F24" s="61" t="s">
        <v>483</v>
      </c>
      <c r="I24" t="s">
        <v>29</v>
      </c>
      <c r="K24">
        <v>22438185.719999999</v>
      </c>
      <c r="L24" t="s">
        <v>8</v>
      </c>
      <c r="M24" s="61" t="s">
        <v>493</v>
      </c>
      <c r="Q24" s="137"/>
      <c r="R24" s="137" t="s">
        <v>499</v>
      </c>
      <c r="S24" s="135"/>
      <c r="T24" s="135"/>
      <c r="U24" s="135" t="s">
        <v>194</v>
      </c>
      <c r="V24" s="135" t="s">
        <v>8</v>
      </c>
      <c r="W24" t="s">
        <v>39</v>
      </c>
      <c r="X24" t="s">
        <v>45</v>
      </c>
      <c r="Y24" t="s">
        <v>40</v>
      </c>
      <c r="Z24" t="s">
        <v>43</v>
      </c>
      <c r="AA24" t="s">
        <v>484</v>
      </c>
      <c r="AC24" t="s">
        <v>32</v>
      </c>
      <c r="AD24" s="61" t="s">
        <v>483</v>
      </c>
      <c r="AE24">
        <v>2.5545</v>
      </c>
      <c r="AI24">
        <v>22438185.719999999</v>
      </c>
      <c r="AJ24" t="s">
        <v>8</v>
      </c>
      <c r="AK24" s="61" t="s">
        <v>493</v>
      </c>
      <c r="AO24" s="137"/>
      <c r="AP24" s="137" t="s">
        <v>499</v>
      </c>
      <c r="AQ24" s="135"/>
      <c r="AR24" s="135"/>
      <c r="AS24" s="135"/>
      <c r="AT24" s="135"/>
      <c r="AU24" t="s">
        <v>39</v>
      </c>
      <c r="AV24" t="s">
        <v>45</v>
      </c>
      <c r="AW24" t="s">
        <v>40</v>
      </c>
      <c r="AX24" t="s">
        <v>43</v>
      </c>
      <c r="AY24" t="s">
        <v>484</v>
      </c>
      <c r="BB24" s="135"/>
    </row>
    <row r="25" spans="1:54" x14ac:dyDescent="0.25">
      <c r="A25">
        <v>5296811</v>
      </c>
      <c r="B25" t="s">
        <v>1</v>
      </c>
      <c r="C25" t="s">
        <v>4</v>
      </c>
      <c r="D25" s="61" t="s">
        <v>482</v>
      </c>
      <c r="E25" t="s">
        <v>6</v>
      </c>
      <c r="F25" s="61" t="s">
        <v>483</v>
      </c>
      <c r="I25" t="s">
        <v>29</v>
      </c>
      <c r="K25">
        <v>22268444.91</v>
      </c>
      <c r="L25" t="s">
        <v>8</v>
      </c>
      <c r="M25" s="61" t="s">
        <v>494</v>
      </c>
      <c r="Q25" s="137"/>
      <c r="R25" s="137" t="s">
        <v>499</v>
      </c>
      <c r="S25" s="135"/>
      <c r="T25" s="135"/>
      <c r="U25" s="135" t="s">
        <v>194</v>
      </c>
      <c r="V25" s="135" t="s">
        <v>8</v>
      </c>
      <c r="W25" t="s">
        <v>39</v>
      </c>
      <c r="X25" t="s">
        <v>45</v>
      </c>
      <c r="Y25" t="s">
        <v>40</v>
      </c>
      <c r="Z25" t="s">
        <v>43</v>
      </c>
      <c r="AA25" t="s">
        <v>484</v>
      </c>
      <c r="AC25" t="s">
        <v>32</v>
      </c>
      <c r="AD25" s="61" t="s">
        <v>483</v>
      </c>
      <c r="AE25">
        <v>2.5545</v>
      </c>
      <c r="AI25">
        <v>22268444.91</v>
      </c>
      <c r="AJ25" t="s">
        <v>8</v>
      </c>
      <c r="AK25" s="61" t="s">
        <v>494</v>
      </c>
      <c r="AO25" s="137"/>
      <c r="AP25" s="137" t="s">
        <v>499</v>
      </c>
      <c r="AQ25" s="135"/>
      <c r="AR25" s="135"/>
      <c r="AS25" s="135"/>
      <c r="AT25" s="135"/>
      <c r="AU25" t="s">
        <v>39</v>
      </c>
      <c r="AV25" t="s">
        <v>45</v>
      </c>
      <c r="AW25" t="s">
        <v>40</v>
      </c>
      <c r="AX25" t="s">
        <v>43</v>
      </c>
      <c r="AY25" t="s">
        <v>484</v>
      </c>
      <c r="BB25" s="135"/>
    </row>
    <row r="26" spans="1:54" x14ac:dyDescent="0.25">
      <c r="A26">
        <v>5296811</v>
      </c>
      <c r="B26" t="s">
        <v>1</v>
      </c>
      <c r="C26" t="s">
        <v>4</v>
      </c>
      <c r="D26" s="61" t="s">
        <v>482</v>
      </c>
      <c r="E26" t="s">
        <v>6</v>
      </c>
      <c r="F26" s="61" t="s">
        <v>483</v>
      </c>
      <c r="I26" t="s">
        <v>29</v>
      </c>
      <c r="K26">
        <v>22098704.100000001</v>
      </c>
      <c r="L26" t="s">
        <v>8</v>
      </c>
      <c r="M26" s="61" t="s">
        <v>495</v>
      </c>
      <c r="Q26" s="137"/>
      <c r="R26" s="137" t="s">
        <v>499</v>
      </c>
      <c r="S26" s="135"/>
      <c r="T26" s="135"/>
      <c r="U26" s="135" t="s">
        <v>194</v>
      </c>
      <c r="V26" s="135" t="s">
        <v>8</v>
      </c>
      <c r="W26" t="s">
        <v>39</v>
      </c>
      <c r="X26" t="s">
        <v>45</v>
      </c>
      <c r="Y26" t="s">
        <v>40</v>
      </c>
      <c r="Z26" t="s">
        <v>43</v>
      </c>
      <c r="AA26" t="s">
        <v>484</v>
      </c>
      <c r="AC26" t="s">
        <v>32</v>
      </c>
      <c r="AD26" s="61" t="s">
        <v>483</v>
      </c>
      <c r="AE26">
        <v>2.5545</v>
      </c>
      <c r="AI26">
        <v>22098704.100000001</v>
      </c>
      <c r="AJ26" t="s">
        <v>8</v>
      </c>
      <c r="AK26" s="61" t="s">
        <v>495</v>
      </c>
      <c r="AO26" s="137"/>
      <c r="AP26" s="137" t="s">
        <v>499</v>
      </c>
      <c r="AQ26" s="135"/>
      <c r="AR26" s="135"/>
      <c r="AS26" s="135"/>
      <c r="AT26" s="135"/>
      <c r="AU26" t="s">
        <v>39</v>
      </c>
      <c r="AV26" t="s">
        <v>45</v>
      </c>
      <c r="AW26" t="s">
        <v>40</v>
      </c>
      <c r="AX26" t="s">
        <v>43</v>
      </c>
      <c r="AY26" t="s">
        <v>484</v>
      </c>
      <c r="BB26" s="135"/>
    </row>
    <row r="27" spans="1:54" x14ac:dyDescent="0.25">
      <c r="A27">
        <v>5296811</v>
      </c>
      <c r="B27" t="s">
        <v>1</v>
      </c>
      <c r="C27" t="s">
        <v>4</v>
      </c>
      <c r="D27" s="61" t="s">
        <v>482</v>
      </c>
      <c r="E27" t="s">
        <v>6</v>
      </c>
      <c r="F27" s="61" t="s">
        <v>483</v>
      </c>
      <c r="I27" t="s">
        <v>29</v>
      </c>
      <c r="K27">
        <v>21928963.289999999</v>
      </c>
      <c r="L27" t="s">
        <v>8</v>
      </c>
      <c r="M27" s="61" t="s">
        <v>496</v>
      </c>
      <c r="Q27" s="137"/>
      <c r="R27" s="137" t="s">
        <v>499</v>
      </c>
      <c r="S27" s="135"/>
      <c r="T27" s="135"/>
      <c r="U27" s="135" t="s">
        <v>194</v>
      </c>
      <c r="V27" s="135" t="s">
        <v>8</v>
      </c>
      <c r="W27" t="s">
        <v>39</v>
      </c>
      <c r="X27" t="s">
        <v>45</v>
      </c>
      <c r="Y27" t="s">
        <v>40</v>
      </c>
      <c r="Z27" t="s">
        <v>43</v>
      </c>
      <c r="AA27" t="s">
        <v>484</v>
      </c>
      <c r="AC27" t="s">
        <v>32</v>
      </c>
      <c r="AD27" s="61" t="s">
        <v>483</v>
      </c>
      <c r="AE27">
        <v>2.5545</v>
      </c>
      <c r="AI27">
        <v>21928963.289999999</v>
      </c>
      <c r="AJ27" t="s">
        <v>8</v>
      </c>
      <c r="AK27" s="61" t="s">
        <v>496</v>
      </c>
      <c r="AO27" s="137"/>
      <c r="AP27" s="137" t="s">
        <v>499</v>
      </c>
      <c r="AQ27" s="135"/>
      <c r="AR27" s="135"/>
      <c r="AS27" s="135"/>
      <c r="AT27" s="135"/>
      <c r="AU27" t="s">
        <v>39</v>
      </c>
      <c r="AV27" t="s">
        <v>45</v>
      </c>
      <c r="AW27" t="s">
        <v>40</v>
      </c>
      <c r="AX27" t="s">
        <v>43</v>
      </c>
      <c r="AY27" t="s">
        <v>484</v>
      </c>
      <c r="BB27" s="135"/>
    </row>
    <row r="28" spans="1:54" x14ac:dyDescent="0.25">
      <c r="A28">
        <v>5296811</v>
      </c>
      <c r="B28" t="s">
        <v>1</v>
      </c>
      <c r="C28" t="s">
        <v>4</v>
      </c>
      <c r="D28" s="61" t="s">
        <v>482</v>
      </c>
      <c r="E28" t="s">
        <v>6</v>
      </c>
      <c r="F28" s="61" t="s">
        <v>483</v>
      </c>
      <c r="I28" t="s">
        <v>29</v>
      </c>
      <c r="K28">
        <v>21759222.48</v>
      </c>
      <c r="L28" t="s">
        <v>8</v>
      </c>
      <c r="M28" s="61" t="s">
        <v>497</v>
      </c>
      <c r="Q28" s="137"/>
      <c r="R28" s="137" t="s">
        <v>499</v>
      </c>
      <c r="S28" s="135"/>
      <c r="T28" s="135"/>
      <c r="U28" s="135" t="s">
        <v>194</v>
      </c>
      <c r="V28" s="135" t="s">
        <v>8</v>
      </c>
      <c r="W28" t="s">
        <v>39</v>
      </c>
      <c r="X28" t="s">
        <v>45</v>
      </c>
      <c r="Y28" t="s">
        <v>40</v>
      </c>
      <c r="Z28" t="s">
        <v>43</v>
      </c>
      <c r="AA28" t="s">
        <v>484</v>
      </c>
      <c r="AC28" t="s">
        <v>32</v>
      </c>
      <c r="AD28" s="61" t="s">
        <v>483</v>
      </c>
      <c r="AE28">
        <v>2.5545</v>
      </c>
      <c r="AI28">
        <v>21759222.48</v>
      </c>
      <c r="AJ28" t="s">
        <v>8</v>
      </c>
      <c r="AK28" s="61" t="s">
        <v>497</v>
      </c>
      <c r="AO28" s="137"/>
      <c r="AP28" s="137" t="s">
        <v>499</v>
      </c>
      <c r="AQ28" s="135"/>
      <c r="AR28" s="135"/>
      <c r="AS28" s="135"/>
      <c r="AT28" s="135"/>
      <c r="AU28" t="s">
        <v>39</v>
      </c>
      <c r="AV28" t="s">
        <v>45</v>
      </c>
      <c r="AW28" t="s">
        <v>40</v>
      </c>
      <c r="AX28" t="s">
        <v>43</v>
      </c>
      <c r="AY28" t="s">
        <v>484</v>
      </c>
      <c r="BB28" s="135"/>
    </row>
    <row r="29" spans="1:54" x14ac:dyDescent="0.25">
      <c r="A29">
        <v>5296811</v>
      </c>
      <c r="B29" t="s">
        <v>1</v>
      </c>
      <c r="C29" t="s">
        <v>4</v>
      </c>
      <c r="D29" s="61" t="s">
        <v>482</v>
      </c>
      <c r="E29" t="s">
        <v>6</v>
      </c>
      <c r="F29" s="61" t="s">
        <v>483</v>
      </c>
      <c r="I29" t="s">
        <v>29</v>
      </c>
      <c r="K29">
        <v>21589481.670000002</v>
      </c>
      <c r="L29" t="s">
        <v>8</v>
      </c>
      <c r="M29" s="61" t="s">
        <v>498</v>
      </c>
      <c r="Q29" s="137"/>
      <c r="R29" s="137" t="s">
        <v>499</v>
      </c>
      <c r="S29" s="135"/>
      <c r="T29" s="135"/>
      <c r="U29" s="135" t="s">
        <v>194</v>
      </c>
      <c r="V29" s="135" t="s">
        <v>8</v>
      </c>
      <c r="W29" t="s">
        <v>39</v>
      </c>
      <c r="X29" t="s">
        <v>45</v>
      </c>
      <c r="Y29" t="s">
        <v>40</v>
      </c>
      <c r="Z29" t="s">
        <v>43</v>
      </c>
      <c r="AA29" t="s">
        <v>484</v>
      </c>
      <c r="AC29" t="s">
        <v>32</v>
      </c>
      <c r="AD29" s="61" t="s">
        <v>483</v>
      </c>
      <c r="AE29">
        <v>2.5545</v>
      </c>
      <c r="AI29">
        <v>21589481.670000002</v>
      </c>
      <c r="AJ29" t="s">
        <v>8</v>
      </c>
      <c r="AK29" s="61" t="s">
        <v>498</v>
      </c>
      <c r="AO29" s="137"/>
      <c r="AP29" s="137" t="s">
        <v>499</v>
      </c>
      <c r="AQ29" s="135"/>
      <c r="AR29" s="135"/>
      <c r="AS29" s="135"/>
      <c r="AT29" s="135"/>
      <c r="AU29" t="s">
        <v>39</v>
      </c>
      <c r="AV29" t="s">
        <v>45</v>
      </c>
      <c r="AW29" t="s">
        <v>40</v>
      </c>
      <c r="AX29" t="s">
        <v>43</v>
      </c>
      <c r="AY29" t="s">
        <v>484</v>
      </c>
      <c r="BB29" s="135"/>
    </row>
    <row r="30" spans="1:54" x14ac:dyDescent="0.25">
      <c r="A30">
        <v>5296811</v>
      </c>
      <c r="B30" t="s">
        <v>1</v>
      </c>
      <c r="C30" t="s">
        <v>4</v>
      </c>
      <c r="D30" s="61" t="s">
        <v>482</v>
      </c>
      <c r="E30" t="s">
        <v>6</v>
      </c>
      <c r="F30" s="61" t="s">
        <v>483</v>
      </c>
      <c r="I30" t="s">
        <v>29</v>
      </c>
      <c r="K30">
        <v>21419740.859999999</v>
      </c>
      <c r="L30" t="s">
        <v>8</v>
      </c>
      <c r="M30" s="61" t="s">
        <v>499</v>
      </c>
      <c r="Q30" s="137"/>
      <c r="R30" s="137" t="s">
        <v>499</v>
      </c>
      <c r="S30" s="135"/>
      <c r="T30" s="135"/>
      <c r="U30" s="135" t="s">
        <v>194</v>
      </c>
      <c r="V30" s="135" t="s">
        <v>8</v>
      </c>
      <c r="W30" t="s">
        <v>39</v>
      </c>
      <c r="X30" t="s">
        <v>45</v>
      </c>
      <c r="Y30" t="s">
        <v>40</v>
      </c>
      <c r="Z30" t="s">
        <v>43</v>
      </c>
      <c r="AA30" t="s">
        <v>484</v>
      </c>
      <c r="AC30" t="s">
        <v>32</v>
      </c>
      <c r="AD30" s="61" t="s">
        <v>483</v>
      </c>
      <c r="AE30">
        <v>2.5545</v>
      </c>
      <c r="AI30">
        <v>21419740.859999999</v>
      </c>
      <c r="AJ30" t="s">
        <v>8</v>
      </c>
      <c r="AK30" s="61" t="s">
        <v>499</v>
      </c>
      <c r="AO30" s="137"/>
      <c r="AP30" s="137" t="s">
        <v>499</v>
      </c>
      <c r="AQ30" s="135"/>
      <c r="AR30" s="135"/>
      <c r="AS30" s="135"/>
      <c r="AT30" s="135"/>
      <c r="AU30" t="s">
        <v>39</v>
      </c>
      <c r="AV30" t="s">
        <v>45</v>
      </c>
      <c r="AW30" t="s">
        <v>40</v>
      </c>
      <c r="AX30" t="s">
        <v>43</v>
      </c>
      <c r="AY30" t="s">
        <v>484</v>
      </c>
      <c r="BB30" s="135"/>
    </row>
    <row r="31" spans="1:54" x14ac:dyDescent="0.25">
      <c r="A31">
        <v>4976290</v>
      </c>
      <c r="B31" t="s">
        <v>0</v>
      </c>
      <c r="C31" t="s">
        <v>4</v>
      </c>
      <c r="D31" s="61" t="s">
        <v>507</v>
      </c>
      <c r="E31" t="s">
        <v>6</v>
      </c>
      <c r="F31" s="133">
        <v>45542</v>
      </c>
      <c r="I31" t="s">
        <v>508</v>
      </c>
      <c r="K31">
        <v>2000000</v>
      </c>
      <c r="L31" t="s">
        <v>9</v>
      </c>
      <c r="M31" s="61"/>
      <c r="Q31" s="137" t="s">
        <v>509</v>
      </c>
      <c r="R31" s="137"/>
      <c r="S31" s="135"/>
      <c r="T31" s="135"/>
      <c r="U31" s="135"/>
      <c r="V31" s="135"/>
      <c r="W31" t="s">
        <v>39</v>
      </c>
      <c r="X31" t="s">
        <v>45</v>
      </c>
      <c r="Y31" t="s">
        <v>40</v>
      </c>
      <c r="Z31" t="s">
        <v>43</v>
      </c>
      <c r="AA31">
        <v>27</v>
      </c>
      <c r="AC31" t="s">
        <v>32</v>
      </c>
      <c r="AD31" s="133">
        <v>45542</v>
      </c>
      <c r="AE31">
        <v>1.2</v>
      </c>
      <c r="AI31">
        <v>2000000</v>
      </c>
      <c r="AJ31" t="s">
        <v>9</v>
      </c>
      <c r="AK31" s="61"/>
      <c r="AO31" s="137" t="s">
        <v>509</v>
      </c>
      <c r="AP31" s="137"/>
      <c r="AQ31" s="135"/>
      <c r="AR31" s="135"/>
      <c r="AS31" s="135"/>
      <c r="AT31" s="135"/>
      <c r="AU31" t="s">
        <v>39</v>
      </c>
      <c r="AV31" t="s">
        <v>45</v>
      </c>
      <c r="AW31" t="s">
        <v>40</v>
      </c>
      <c r="AX31" t="s">
        <v>43</v>
      </c>
      <c r="AY31">
        <v>27</v>
      </c>
      <c r="BB31" s="135" t="s">
        <v>510</v>
      </c>
    </row>
    <row r="32" spans="1:54" x14ac:dyDescent="0.25">
      <c r="A32">
        <v>4904369</v>
      </c>
      <c r="B32" t="s">
        <v>31</v>
      </c>
      <c r="C32" t="s">
        <v>4</v>
      </c>
      <c r="D32" s="133">
        <v>46366</v>
      </c>
      <c r="E32" t="s">
        <v>6</v>
      </c>
      <c r="F32" s="133">
        <v>45632</v>
      </c>
      <c r="I32" t="s">
        <v>29</v>
      </c>
      <c r="K32">
        <v>1000000</v>
      </c>
      <c r="L32" t="s">
        <v>9</v>
      </c>
      <c r="M32" s="61"/>
      <c r="Q32" s="137"/>
      <c r="R32" s="136">
        <v>46362</v>
      </c>
      <c r="S32" s="135"/>
      <c r="T32" s="135"/>
      <c r="U32" s="135" t="s">
        <v>8</v>
      </c>
      <c r="V32" s="135" t="s">
        <v>9</v>
      </c>
      <c r="W32" t="s">
        <v>39</v>
      </c>
      <c r="X32" t="s">
        <v>45</v>
      </c>
      <c r="Y32" t="s">
        <v>40</v>
      </c>
      <c r="Z32" t="s">
        <v>43</v>
      </c>
      <c r="AA32">
        <v>12</v>
      </c>
      <c r="AC32" t="s">
        <v>6</v>
      </c>
      <c r="AD32" s="133">
        <v>45632</v>
      </c>
      <c r="AG32" t="s">
        <v>29</v>
      </c>
      <c r="AI32">
        <v>1000000</v>
      </c>
      <c r="AJ32" t="s">
        <v>8</v>
      </c>
      <c r="AK32" s="61"/>
      <c r="AO32" s="137"/>
      <c r="AP32" s="136">
        <v>46365</v>
      </c>
      <c r="AQ32" s="135"/>
      <c r="AR32" s="135"/>
      <c r="AS32" s="135" t="s">
        <v>34</v>
      </c>
      <c r="AT32" s="135" t="s">
        <v>194</v>
      </c>
      <c r="AU32" t="s">
        <v>39</v>
      </c>
      <c r="AV32" t="s">
        <v>45</v>
      </c>
      <c r="AW32" t="s">
        <v>40</v>
      </c>
      <c r="AX32" t="s">
        <v>43</v>
      </c>
      <c r="AY32">
        <v>12</v>
      </c>
      <c r="BB32" s="135" t="s">
        <v>511</v>
      </c>
    </row>
    <row r="33" spans="1:54" x14ac:dyDescent="0.25">
      <c r="A33">
        <v>5096357</v>
      </c>
      <c r="B33" t="s">
        <v>436</v>
      </c>
      <c r="C33" t="s">
        <v>5</v>
      </c>
      <c r="D33" s="15">
        <v>46398</v>
      </c>
      <c r="E33" t="s">
        <v>6</v>
      </c>
      <c r="F33" s="15">
        <v>45301</v>
      </c>
      <c r="H33">
        <v>2</v>
      </c>
      <c r="I33" t="s">
        <v>247</v>
      </c>
      <c r="K33">
        <v>1000000</v>
      </c>
      <c r="L33" t="s">
        <v>197</v>
      </c>
      <c r="P33">
        <v>337</v>
      </c>
      <c r="Q33" s="138">
        <v>45668</v>
      </c>
      <c r="R33" s="135"/>
      <c r="S33" s="135"/>
      <c r="T33" s="135"/>
      <c r="U33" s="135"/>
      <c r="V33" s="135"/>
      <c r="W33" t="s">
        <v>473</v>
      </c>
      <c r="X33" t="s">
        <v>45</v>
      </c>
      <c r="Y33" t="s">
        <v>41</v>
      </c>
      <c r="Z33" t="s">
        <v>44</v>
      </c>
      <c r="AA33">
        <v>1</v>
      </c>
      <c r="AB33" t="s">
        <v>52</v>
      </c>
      <c r="AC33" t="s">
        <v>32</v>
      </c>
      <c r="AD33" s="15">
        <v>45301</v>
      </c>
      <c r="AE33">
        <v>1.3</v>
      </c>
      <c r="AI33">
        <v>1000000</v>
      </c>
      <c r="AJ33" t="s">
        <v>194</v>
      </c>
      <c r="AO33" s="135"/>
      <c r="AP33" s="135"/>
      <c r="AQ33" s="135"/>
      <c r="AR33" s="135"/>
      <c r="AS33" s="135"/>
      <c r="AT33" s="135"/>
      <c r="AU33" t="s">
        <v>473</v>
      </c>
      <c r="AV33" t="s">
        <v>45</v>
      </c>
      <c r="AW33" t="s">
        <v>41</v>
      </c>
      <c r="AX33" t="s">
        <v>44</v>
      </c>
      <c r="AY33">
        <v>1</v>
      </c>
      <c r="AZ33" t="s">
        <v>52</v>
      </c>
      <c r="BB33" s="135" t="s">
        <v>519</v>
      </c>
    </row>
    <row r="34" spans="1:54" x14ac:dyDescent="0.25">
      <c r="L34" s="16"/>
      <c r="P34" s="30"/>
      <c r="Q34" s="30"/>
      <c r="R34" s="30"/>
      <c r="S34" s="30"/>
      <c r="T34" s="30"/>
      <c r="U34" s="30"/>
      <c r="V34" s="30"/>
      <c r="AO34" s="30"/>
      <c r="AP34" s="30"/>
      <c r="AQ34" s="30"/>
      <c r="AR34" s="30"/>
      <c r="AS34" s="30"/>
      <c r="AT34" s="30"/>
    </row>
    <row r="35" spans="1:54" x14ac:dyDescent="0.25">
      <c r="L35" s="16"/>
      <c r="P35" s="30"/>
      <c r="Q35" s="30"/>
      <c r="R35" s="30"/>
      <c r="S35" s="30"/>
      <c r="T35" s="30"/>
      <c r="U35" s="30"/>
      <c r="V35" s="30"/>
      <c r="AO35" s="30"/>
      <c r="AP35" s="30"/>
      <c r="AQ35" s="30"/>
      <c r="AR35" s="30"/>
      <c r="AS35" s="30"/>
      <c r="AT35" s="30"/>
    </row>
    <row r="36" spans="1:54" x14ac:dyDescent="0.25">
      <c r="L36" s="17"/>
      <c r="P36" s="30"/>
      <c r="Q36" s="30"/>
      <c r="R36" s="30"/>
      <c r="S36" s="30"/>
      <c r="T36" s="30"/>
      <c r="U36" s="30"/>
      <c r="V36" s="30"/>
      <c r="AO36" s="30"/>
      <c r="AP36" s="30"/>
      <c r="AQ36" s="30"/>
      <c r="AR36" s="30"/>
      <c r="AS36" s="30"/>
      <c r="AT36" s="30"/>
    </row>
    <row r="37" spans="1:54" x14ac:dyDescent="0.25">
      <c r="L37" s="18"/>
    </row>
    <row r="38" spans="1:54" x14ac:dyDescent="0.25">
      <c r="L38" s="18"/>
    </row>
    <row r="39" spans="1:54" x14ac:dyDescent="0.25">
      <c r="L39" s="17"/>
    </row>
    <row r="40" spans="1:54" x14ac:dyDescent="0.25">
      <c r="L40" s="18"/>
    </row>
    <row r="41" spans="1:54" x14ac:dyDescent="0.25">
      <c r="L41" s="18"/>
    </row>
    <row r="42" spans="1:54" x14ac:dyDescent="0.25">
      <c r="L42" s="19"/>
    </row>
    <row r="43" spans="1:54" x14ac:dyDescent="0.25">
      <c r="L43" s="19"/>
    </row>
    <row r="44" spans="1:54" x14ac:dyDescent="0.25">
      <c r="L44" s="17"/>
    </row>
    <row r="45" spans="1:54" x14ac:dyDescent="0.25">
      <c r="L45" s="20"/>
    </row>
    <row r="46" spans="1:54" x14ac:dyDescent="0.25">
      <c r="L46" s="17"/>
    </row>
    <row r="49" spans="12:12" x14ac:dyDescent="0.25">
      <c r="L49" s="21"/>
    </row>
    <row r="50" spans="12:12" x14ac:dyDescent="0.25">
      <c r="L50" s="21"/>
    </row>
    <row r="51" spans="12:12" x14ac:dyDescent="0.25">
      <c r="L51" s="21"/>
    </row>
  </sheetData>
  <mergeCells count="4">
    <mergeCell ref="A1:AT1"/>
    <mergeCell ref="A2:D2"/>
    <mergeCell ref="E2:V2"/>
    <mergeCell ref="AC2:AT2"/>
  </mergeCells>
  <dataValidations count="2">
    <dataValidation type="list" allowBlank="1" showInputMessage="1" showErrorMessage="1" sqref="Y1:Y2 AW1:AW2 AU1:AU2" xr:uid="{00000000-0002-0000-0500-000000000000}">
      <formula1>#REF!</formula1>
    </dataValidation>
    <dataValidation showDropDown="1" showInputMessage="1" showErrorMessage="1" sqref="AC8 AA6:AC6 AG7:AI7 E8 E12:E14 AM7:AN8 AG6:AN6 E4:P4 AA4:AN5 E5:E6 AI9:AI14 AN15:AN30 AT31 A4:D32 F5:P32 AZ32 BA15:XFD32 AV8:XFD14 AU4:XFD7 BB33" xr:uid="{00000000-0002-0000-0500-000001000000}"/>
  </dataValidations>
  <pageMargins left="0.7" right="0.7" top="0.75" bottom="0.75" header="0.3" footer="0.3"/>
  <pageSetup paperSize="9" orientation="portrait" r:id="rId1"/>
  <headerFooter>
    <oddFooter>&amp;C&amp;1#&amp;"Calibri"&amp;10&amp;K000000Internal</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B050"/>
  </sheetPr>
  <dimension ref="A1:BA37"/>
  <sheetViews>
    <sheetView workbookViewId="0">
      <selection sqref="A1:AT1"/>
    </sheetView>
  </sheetViews>
  <sheetFormatPr defaultColWidth="9" defaultRowHeight="15" x14ac:dyDescent="0.25"/>
  <cols>
    <col min="1" max="1" width="15.5703125" customWidth="1"/>
    <col min="2" max="2" width="9.140625" customWidth="1"/>
    <col min="3" max="3" width="9" customWidth="1"/>
    <col min="4" max="4" width="11.85546875" customWidth="1"/>
    <col min="5" max="5" width="9" customWidth="1"/>
    <col min="6" max="6" width="16.28515625" customWidth="1"/>
    <col min="7" max="9" width="9" customWidth="1"/>
    <col min="10" max="10" width="15.7109375" customWidth="1"/>
    <col min="11" max="11" width="13.42578125" customWidth="1"/>
    <col min="12" max="16" width="9" customWidth="1"/>
    <col min="17" max="17" width="15.140625" customWidth="1"/>
    <col min="18" max="18" width="15.85546875" customWidth="1"/>
    <col min="19" max="19" width="14.28515625" customWidth="1"/>
    <col min="20" max="20" width="15.140625" customWidth="1"/>
    <col min="21" max="21" width="13.140625" customWidth="1"/>
    <col min="22" max="22" width="13.85546875" customWidth="1"/>
    <col min="23" max="25" width="9" customWidth="1"/>
    <col min="26" max="27" width="12.5703125" customWidth="1"/>
    <col min="28" max="29" width="9" customWidth="1"/>
    <col min="30" max="30" width="16.42578125" customWidth="1"/>
    <col min="31" max="40" width="9" customWidth="1"/>
    <col min="41" max="41" width="14.7109375" customWidth="1"/>
    <col min="42" max="42" width="15.7109375" customWidth="1"/>
    <col min="43" max="43" width="14.28515625" customWidth="1"/>
    <col min="44" max="44" width="15.140625" customWidth="1"/>
    <col min="45" max="45" width="13.140625" customWidth="1"/>
    <col min="46" max="46" width="13.85546875" customWidth="1"/>
    <col min="47" max="47" width="9" customWidth="1"/>
    <col min="48" max="48" width="19.5703125" customWidth="1"/>
  </cols>
  <sheetData>
    <row r="1" spans="1:53" s="1" customFormat="1" ht="39.75" customHeight="1" x14ac:dyDescent="0.25">
      <c r="A1" s="155" t="s">
        <v>226</v>
      </c>
      <c r="B1" s="155"/>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c r="AJ1" s="155"/>
      <c r="AK1" s="155"/>
      <c r="AL1" s="155"/>
      <c r="AM1" s="155"/>
      <c r="AN1" s="155"/>
      <c r="AO1" s="155"/>
      <c r="AP1" s="155"/>
      <c r="AQ1" s="155"/>
      <c r="AR1" s="155"/>
      <c r="AS1" s="155"/>
      <c r="AT1" s="155"/>
      <c r="AU1" s="8"/>
      <c r="AV1" s="8"/>
      <c r="AW1" s="8"/>
      <c r="AX1" s="8"/>
      <c r="AY1" s="8"/>
      <c r="AZ1" s="9"/>
      <c r="BA1" s="10"/>
    </row>
    <row r="2" spans="1:53" s="1" customFormat="1" ht="24" customHeight="1" x14ac:dyDescent="0.25">
      <c r="A2" s="149"/>
      <c r="B2" s="149"/>
      <c r="C2" s="149"/>
      <c r="D2" s="149"/>
      <c r="E2" s="147" t="s">
        <v>16</v>
      </c>
      <c r="F2" s="148"/>
      <c r="G2" s="148"/>
      <c r="H2" s="148"/>
      <c r="I2" s="148"/>
      <c r="J2" s="148"/>
      <c r="K2" s="148"/>
      <c r="L2" s="148"/>
      <c r="M2" s="148"/>
      <c r="N2" s="148"/>
      <c r="O2" s="148"/>
      <c r="P2" s="148"/>
      <c r="Q2" s="148"/>
      <c r="R2" s="148"/>
      <c r="S2" s="148"/>
      <c r="T2" s="148"/>
      <c r="U2" s="148"/>
      <c r="V2" s="148"/>
      <c r="W2" s="11"/>
      <c r="X2" s="11"/>
      <c r="Y2" s="11"/>
      <c r="Z2" s="11"/>
      <c r="AA2" s="11"/>
      <c r="AB2" s="11"/>
      <c r="AC2" s="150" t="s">
        <v>19</v>
      </c>
      <c r="AD2" s="151"/>
      <c r="AE2" s="151"/>
      <c r="AF2" s="151"/>
      <c r="AG2" s="151"/>
      <c r="AH2" s="151"/>
      <c r="AI2" s="151"/>
      <c r="AJ2" s="151"/>
      <c r="AK2" s="151"/>
      <c r="AL2" s="151"/>
      <c r="AM2" s="151"/>
      <c r="AN2" s="151"/>
      <c r="AO2" s="151"/>
      <c r="AP2" s="151"/>
      <c r="AQ2" s="151"/>
      <c r="AR2" s="151"/>
      <c r="AS2" s="151"/>
      <c r="AT2" s="151"/>
      <c r="AU2" s="12"/>
      <c r="AV2" s="12"/>
      <c r="AW2" s="12"/>
      <c r="AX2" s="12"/>
      <c r="AY2" s="12"/>
      <c r="AZ2" s="13"/>
    </row>
    <row r="3" spans="1:53" s="1" customFormat="1" ht="57.75" customHeight="1" thickBot="1" x14ac:dyDescent="0.3">
      <c r="A3" s="3" t="s">
        <v>28</v>
      </c>
      <c r="B3" s="3" t="s">
        <v>2</v>
      </c>
      <c r="C3" s="2" t="s">
        <v>15</v>
      </c>
      <c r="D3" s="3" t="s">
        <v>109</v>
      </c>
      <c r="E3" s="4" t="s">
        <v>17</v>
      </c>
      <c r="F3" s="3" t="s">
        <v>108</v>
      </c>
      <c r="G3" s="3" t="s">
        <v>18</v>
      </c>
      <c r="H3" s="3" t="s">
        <v>433</v>
      </c>
      <c r="I3" s="3" t="s">
        <v>24</v>
      </c>
      <c r="J3" s="3" t="s">
        <v>42</v>
      </c>
      <c r="K3" s="3" t="s">
        <v>14</v>
      </c>
      <c r="L3" s="3" t="s">
        <v>7</v>
      </c>
      <c r="M3" s="3" t="s">
        <v>110</v>
      </c>
      <c r="N3" s="3" t="s">
        <v>11</v>
      </c>
      <c r="O3" s="3" t="s">
        <v>12</v>
      </c>
      <c r="P3" s="3" t="s">
        <v>111</v>
      </c>
      <c r="Q3" s="127" t="s">
        <v>454</v>
      </c>
      <c r="R3" s="127" t="s">
        <v>455</v>
      </c>
      <c r="S3" s="127" t="s">
        <v>456</v>
      </c>
      <c r="T3" s="127" t="s">
        <v>457</v>
      </c>
      <c r="U3" s="127" t="s">
        <v>458</v>
      </c>
      <c r="V3" s="127" t="s">
        <v>459</v>
      </c>
      <c r="W3" s="3" t="s">
        <v>20</v>
      </c>
      <c r="X3" s="3" t="s">
        <v>21</v>
      </c>
      <c r="Y3" s="3" t="s">
        <v>22</v>
      </c>
      <c r="Z3" s="3" t="s">
        <v>27</v>
      </c>
      <c r="AA3" s="3" t="s">
        <v>23</v>
      </c>
      <c r="AB3" s="3" t="s">
        <v>435</v>
      </c>
      <c r="AC3" s="4" t="s">
        <v>17</v>
      </c>
      <c r="AD3" s="3" t="s">
        <v>108</v>
      </c>
      <c r="AE3" s="3" t="s">
        <v>18</v>
      </c>
      <c r="AF3" s="3" t="s">
        <v>433</v>
      </c>
      <c r="AG3" s="3" t="s">
        <v>24</v>
      </c>
      <c r="AH3" s="3" t="s">
        <v>42</v>
      </c>
      <c r="AI3" s="3" t="s">
        <v>14</v>
      </c>
      <c r="AJ3" s="3" t="s">
        <v>7</v>
      </c>
      <c r="AK3" s="3" t="s">
        <v>110</v>
      </c>
      <c r="AL3" s="3" t="s">
        <v>11</v>
      </c>
      <c r="AM3" s="3" t="s">
        <v>12</v>
      </c>
      <c r="AN3" s="3" t="s">
        <v>111</v>
      </c>
      <c r="AO3" s="127" t="s">
        <v>454</v>
      </c>
      <c r="AP3" s="127" t="s">
        <v>455</v>
      </c>
      <c r="AQ3" s="127" t="s">
        <v>456</v>
      </c>
      <c r="AR3" s="127" t="s">
        <v>457</v>
      </c>
      <c r="AS3" s="127" t="s">
        <v>458</v>
      </c>
      <c r="AT3" s="127" t="s">
        <v>459</v>
      </c>
      <c r="AU3" s="3" t="s">
        <v>20</v>
      </c>
      <c r="AV3" s="3" t="s">
        <v>21</v>
      </c>
      <c r="AW3" s="3" t="s">
        <v>22</v>
      </c>
      <c r="AX3" s="3" t="s">
        <v>27</v>
      </c>
      <c r="AY3" s="3" t="s">
        <v>23</v>
      </c>
      <c r="AZ3" s="120" t="s">
        <v>435</v>
      </c>
      <c r="BA3" s="5"/>
    </row>
    <row r="4" spans="1:53" x14ac:dyDescent="0.25">
      <c r="A4" s="24" t="s">
        <v>229</v>
      </c>
      <c r="B4" s="24" t="s">
        <v>30</v>
      </c>
      <c r="C4" s="24" t="s">
        <v>4</v>
      </c>
      <c r="D4" s="25">
        <v>45101</v>
      </c>
      <c r="E4" s="24" t="s">
        <v>32</v>
      </c>
      <c r="F4" s="25">
        <v>41449</v>
      </c>
      <c r="G4" s="24">
        <v>1</v>
      </c>
      <c r="H4" s="26"/>
      <c r="I4" s="26"/>
      <c r="J4" s="26"/>
      <c r="K4" s="24">
        <v>10000000</v>
      </c>
      <c r="L4" s="24" t="s">
        <v>9</v>
      </c>
      <c r="M4" s="26"/>
      <c r="N4" s="26"/>
      <c r="O4" s="26"/>
      <c r="P4" s="22"/>
      <c r="Q4" s="22"/>
      <c r="R4" s="22"/>
      <c r="S4" s="22"/>
      <c r="T4" s="22"/>
      <c r="U4" s="22"/>
      <c r="V4" s="22"/>
      <c r="W4" s="24" t="s">
        <v>33</v>
      </c>
      <c r="X4" s="24" t="s">
        <v>45</v>
      </c>
      <c r="Y4" s="24" t="s">
        <v>40</v>
      </c>
      <c r="Z4" s="22" t="s">
        <v>43</v>
      </c>
      <c r="AA4" s="22" t="s">
        <v>35</v>
      </c>
      <c r="AB4" s="26"/>
      <c r="AC4" s="24" t="s">
        <v>6</v>
      </c>
      <c r="AD4" s="25">
        <v>41449</v>
      </c>
      <c r="AE4" s="22"/>
      <c r="AF4" s="26"/>
      <c r="AG4" s="24" t="s">
        <v>29</v>
      </c>
      <c r="AH4" s="26"/>
      <c r="AI4" s="24">
        <v>10000000</v>
      </c>
      <c r="AJ4" s="24" t="s">
        <v>228</v>
      </c>
      <c r="AK4" s="26"/>
      <c r="AL4" s="22" t="s">
        <v>230</v>
      </c>
      <c r="AM4" s="22" t="s">
        <v>8</v>
      </c>
      <c r="AN4" s="22"/>
      <c r="AO4" s="26"/>
      <c r="AP4" s="26"/>
      <c r="AQ4" s="26"/>
      <c r="AR4" s="26"/>
      <c r="AS4" s="26"/>
      <c r="AT4" s="26"/>
      <c r="AU4" s="24" t="s">
        <v>39</v>
      </c>
      <c r="AV4" s="24" t="s">
        <v>45</v>
      </c>
      <c r="AW4" s="24" t="s">
        <v>40</v>
      </c>
      <c r="AX4" s="22" t="s">
        <v>43</v>
      </c>
      <c r="AY4" s="22" t="s">
        <v>35</v>
      </c>
      <c r="AZ4" s="26"/>
    </row>
    <row r="5" spans="1:53" x14ac:dyDescent="0.25">
      <c r="A5" s="24" t="s">
        <v>227</v>
      </c>
      <c r="B5" s="24" t="s">
        <v>30</v>
      </c>
      <c r="C5" s="24" t="s">
        <v>4</v>
      </c>
      <c r="D5" s="25">
        <v>42504</v>
      </c>
      <c r="E5" s="24" t="s">
        <v>32</v>
      </c>
      <c r="F5" s="25">
        <v>41408</v>
      </c>
      <c r="G5" s="26"/>
      <c r="H5" s="26"/>
      <c r="I5" s="26"/>
      <c r="J5" s="22">
        <v>12453</v>
      </c>
      <c r="K5" s="26"/>
      <c r="L5" s="24" t="s">
        <v>228</v>
      </c>
      <c r="M5" s="26"/>
      <c r="N5" s="26"/>
      <c r="O5" s="26"/>
      <c r="P5" s="22"/>
      <c r="Q5" s="26"/>
      <c r="R5" s="26"/>
      <c r="S5" s="26"/>
      <c r="T5" s="26"/>
      <c r="U5" s="26"/>
      <c r="V5" s="26"/>
      <c r="W5" s="24" t="s">
        <v>39</v>
      </c>
      <c r="X5" s="24" t="s">
        <v>45</v>
      </c>
      <c r="Y5" s="24" t="s">
        <v>40</v>
      </c>
      <c r="Z5" s="22" t="s">
        <v>44</v>
      </c>
      <c r="AA5" s="22" t="s">
        <v>35</v>
      </c>
      <c r="AB5" s="26"/>
      <c r="AC5" s="24" t="s">
        <v>6</v>
      </c>
      <c r="AD5" s="25">
        <v>41408</v>
      </c>
      <c r="AE5" s="22"/>
      <c r="AF5" s="26"/>
      <c r="AG5" s="24" t="s">
        <v>29</v>
      </c>
      <c r="AH5" s="26"/>
      <c r="AI5" s="24">
        <v>3000000</v>
      </c>
      <c r="AJ5" s="24" t="s">
        <v>9</v>
      </c>
      <c r="AK5" s="26"/>
      <c r="AL5" s="22"/>
      <c r="AM5" s="22"/>
      <c r="AN5" s="22"/>
      <c r="AO5" s="22"/>
      <c r="AP5" s="22"/>
      <c r="AQ5" s="22"/>
      <c r="AR5" s="22"/>
      <c r="AS5" s="22"/>
      <c r="AT5" s="22"/>
      <c r="AU5" s="24" t="s">
        <v>39</v>
      </c>
      <c r="AV5" s="24" t="s">
        <v>45</v>
      </c>
      <c r="AW5" s="24" t="s">
        <v>40</v>
      </c>
      <c r="AX5" s="22" t="s">
        <v>44</v>
      </c>
      <c r="AY5" s="22" t="s">
        <v>35</v>
      </c>
      <c r="AZ5" s="26"/>
    </row>
    <row r="10" spans="1:53" x14ac:dyDescent="0.25">
      <c r="A10" s="24" t="s">
        <v>73</v>
      </c>
    </row>
    <row r="11" spans="1:53" x14ac:dyDescent="0.25">
      <c r="A11" s="22" t="s">
        <v>72</v>
      </c>
    </row>
    <row r="12" spans="1:53" ht="45" x14ac:dyDescent="0.25">
      <c r="A12" s="57" t="s">
        <v>241</v>
      </c>
    </row>
    <row r="20" spans="12:12" x14ac:dyDescent="0.25">
      <c r="L20" s="16"/>
    </row>
    <row r="21" spans="12:12" x14ac:dyDescent="0.25">
      <c r="L21" s="16"/>
    </row>
    <row r="22" spans="12:12" x14ac:dyDescent="0.25">
      <c r="L22" s="17"/>
    </row>
    <row r="23" spans="12:12" x14ac:dyDescent="0.25">
      <c r="L23" s="18"/>
    </row>
    <row r="24" spans="12:12" x14ac:dyDescent="0.25">
      <c r="L24" s="18"/>
    </row>
    <row r="25" spans="12:12" x14ac:dyDescent="0.25">
      <c r="L25" s="17"/>
    </row>
    <row r="26" spans="12:12" x14ac:dyDescent="0.25">
      <c r="L26" s="18"/>
    </row>
    <row r="27" spans="12:12" x14ac:dyDescent="0.25">
      <c r="L27" s="18"/>
    </row>
    <row r="28" spans="12:12" x14ac:dyDescent="0.25">
      <c r="L28" s="19"/>
    </row>
    <row r="29" spans="12:12" x14ac:dyDescent="0.25">
      <c r="L29" s="19"/>
    </row>
    <row r="30" spans="12:12" x14ac:dyDescent="0.25">
      <c r="L30" s="17"/>
    </row>
    <row r="31" spans="12:12" x14ac:dyDescent="0.25">
      <c r="L31" s="20"/>
    </row>
    <row r="32" spans="12:12" x14ac:dyDescent="0.25">
      <c r="L32" s="17"/>
    </row>
    <row r="35" spans="12:12" x14ac:dyDescent="0.25">
      <c r="L35" s="21"/>
    </row>
    <row r="36" spans="12:12" x14ac:dyDescent="0.25">
      <c r="L36" s="21"/>
    </row>
    <row r="37" spans="12:12" x14ac:dyDescent="0.25">
      <c r="L37" s="21"/>
    </row>
  </sheetData>
  <mergeCells count="4">
    <mergeCell ref="A1:AT1"/>
    <mergeCell ref="A2:D2"/>
    <mergeCell ref="E2:V2"/>
    <mergeCell ref="AC2:AT2"/>
  </mergeCells>
  <dataValidations count="2">
    <dataValidation type="list" allowBlank="1" showInputMessage="1" showErrorMessage="1" sqref="Y1:Y2 AW1:AW2 AU1:AU2" xr:uid="{00000000-0002-0000-0600-000000000000}">
      <formula1>#REF!</formula1>
    </dataValidation>
    <dataValidation showDropDown="1" showInputMessage="1" showErrorMessage="1" sqref="X4 AJ4 A5:B5 H4 AF4 Q4:V4 AV4:AV5 D5:G5 AX5:JF5 Z5:AE5 I5:X5 AH5:AN5 AO4:AT4" xr:uid="{00000000-0002-0000-0600-000002000000}"/>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50"/>
  </sheetPr>
  <dimension ref="A1:BA11"/>
  <sheetViews>
    <sheetView workbookViewId="0">
      <selection sqref="A1:AT1"/>
    </sheetView>
  </sheetViews>
  <sheetFormatPr defaultColWidth="9" defaultRowHeight="15" x14ac:dyDescent="0.25"/>
  <cols>
    <col min="1" max="1" width="16.7109375" customWidth="1"/>
    <col min="2" max="2" width="9.140625" customWidth="1"/>
    <col min="3" max="3" width="9" customWidth="1"/>
    <col min="4" max="4" width="18.28515625" customWidth="1"/>
    <col min="6" max="6" width="15.5703125" customWidth="1"/>
    <col min="17" max="17" width="15" customWidth="1"/>
    <col min="18" max="18" width="15.7109375" customWidth="1"/>
    <col min="19" max="19" width="14.28515625" customWidth="1"/>
    <col min="20" max="20" width="15.140625" customWidth="1"/>
    <col min="21" max="21" width="13.140625" customWidth="1"/>
    <col min="22" max="22" width="13.85546875" customWidth="1"/>
    <col min="30" max="30" width="15.42578125" customWidth="1"/>
    <col min="41" max="41" width="14.85546875" customWidth="1"/>
    <col min="42" max="42" width="16.28515625" customWidth="1"/>
    <col min="43" max="43" width="14.28515625" customWidth="1"/>
    <col min="44" max="44" width="15.140625" customWidth="1"/>
    <col min="45" max="45" width="13.140625" customWidth="1"/>
    <col min="46" max="46" width="13.85546875" customWidth="1"/>
  </cols>
  <sheetData>
    <row r="1" spans="1:53" s="1" customFormat="1" ht="39.75" customHeight="1" x14ac:dyDescent="0.25">
      <c r="A1" s="155" t="s">
        <v>79</v>
      </c>
      <c r="B1" s="155"/>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c r="AJ1" s="155"/>
      <c r="AK1" s="155"/>
      <c r="AL1" s="155"/>
      <c r="AM1" s="155"/>
      <c r="AN1" s="155"/>
      <c r="AO1" s="155"/>
      <c r="AP1" s="155"/>
      <c r="AQ1" s="155"/>
      <c r="AR1" s="155"/>
      <c r="AS1" s="155"/>
      <c r="AT1" s="155"/>
      <c r="AU1" s="8"/>
      <c r="AV1" s="8"/>
      <c r="AW1" s="8"/>
      <c r="AX1" s="8"/>
      <c r="AY1" s="8"/>
      <c r="AZ1" s="9"/>
      <c r="BA1" s="10"/>
    </row>
    <row r="2" spans="1:53" s="1" customFormat="1" ht="24" customHeight="1" x14ac:dyDescent="0.25">
      <c r="A2" s="149"/>
      <c r="B2" s="149"/>
      <c r="C2" s="149"/>
      <c r="D2" s="149"/>
      <c r="E2" s="147" t="s">
        <v>16</v>
      </c>
      <c r="F2" s="148"/>
      <c r="G2" s="148"/>
      <c r="H2" s="148"/>
      <c r="I2" s="148"/>
      <c r="J2" s="148"/>
      <c r="K2" s="148"/>
      <c r="L2" s="148"/>
      <c r="M2" s="148"/>
      <c r="N2" s="148"/>
      <c r="O2" s="148"/>
      <c r="P2" s="148"/>
      <c r="Q2" s="148"/>
      <c r="R2" s="148"/>
      <c r="S2" s="148"/>
      <c r="T2" s="148"/>
      <c r="U2" s="148"/>
      <c r="V2" s="148"/>
      <c r="W2" s="11"/>
      <c r="X2" s="11"/>
      <c r="Y2" s="11"/>
      <c r="Z2" s="11"/>
      <c r="AA2" s="11"/>
      <c r="AB2" s="11"/>
      <c r="AC2" s="150" t="s">
        <v>19</v>
      </c>
      <c r="AD2" s="151"/>
      <c r="AE2" s="151"/>
      <c r="AF2" s="151"/>
      <c r="AG2" s="151"/>
      <c r="AH2" s="151"/>
      <c r="AI2" s="151"/>
      <c r="AJ2" s="151"/>
      <c r="AK2" s="151"/>
      <c r="AL2" s="151"/>
      <c r="AM2" s="151"/>
      <c r="AN2" s="151"/>
      <c r="AO2" s="151"/>
      <c r="AP2" s="151"/>
      <c r="AQ2" s="151"/>
      <c r="AR2" s="151"/>
      <c r="AS2" s="151"/>
      <c r="AT2" s="151"/>
      <c r="AU2" s="12"/>
      <c r="AV2" s="12"/>
      <c r="AW2" s="12"/>
      <c r="AX2" s="12"/>
      <c r="AY2" s="12"/>
      <c r="AZ2" s="13"/>
    </row>
    <row r="3" spans="1:53" s="1" customFormat="1" ht="57.75" customHeight="1" thickBot="1" x14ac:dyDescent="0.3">
      <c r="A3" s="3" t="s">
        <v>28</v>
      </c>
      <c r="B3" s="3" t="s">
        <v>2</v>
      </c>
      <c r="C3" s="2" t="s">
        <v>15</v>
      </c>
      <c r="D3" s="3" t="s">
        <v>109</v>
      </c>
      <c r="E3" s="4" t="s">
        <v>17</v>
      </c>
      <c r="F3" s="3" t="s">
        <v>108</v>
      </c>
      <c r="G3" s="3" t="s">
        <v>18</v>
      </c>
      <c r="H3" s="3" t="s">
        <v>433</v>
      </c>
      <c r="I3" s="3" t="s">
        <v>24</v>
      </c>
      <c r="J3" s="3" t="s">
        <v>42</v>
      </c>
      <c r="K3" s="3" t="s">
        <v>14</v>
      </c>
      <c r="L3" s="3" t="s">
        <v>7</v>
      </c>
      <c r="M3" s="3" t="s">
        <v>110</v>
      </c>
      <c r="N3" s="3" t="s">
        <v>11</v>
      </c>
      <c r="O3" s="3" t="s">
        <v>12</v>
      </c>
      <c r="P3" s="3" t="s">
        <v>111</v>
      </c>
      <c r="Q3" s="127" t="s">
        <v>454</v>
      </c>
      <c r="R3" s="127" t="s">
        <v>455</v>
      </c>
      <c r="S3" s="127" t="s">
        <v>456</v>
      </c>
      <c r="T3" s="127" t="s">
        <v>457</v>
      </c>
      <c r="U3" s="127" t="s">
        <v>458</v>
      </c>
      <c r="V3" s="127" t="s">
        <v>459</v>
      </c>
      <c r="W3" s="3" t="s">
        <v>20</v>
      </c>
      <c r="X3" s="3" t="s">
        <v>21</v>
      </c>
      <c r="Y3" s="3" t="s">
        <v>22</v>
      </c>
      <c r="Z3" s="3" t="s">
        <v>27</v>
      </c>
      <c r="AA3" s="3" t="s">
        <v>23</v>
      </c>
      <c r="AB3" s="3" t="s">
        <v>435</v>
      </c>
      <c r="AC3" s="4" t="s">
        <v>17</v>
      </c>
      <c r="AD3" s="3" t="s">
        <v>108</v>
      </c>
      <c r="AE3" s="3" t="s">
        <v>18</v>
      </c>
      <c r="AF3" s="3" t="s">
        <v>433</v>
      </c>
      <c r="AG3" s="3" t="s">
        <v>24</v>
      </c>
      <c r="AH3" s="3" t="s">
        <v>42</v>
      </c>
      <c r="AI3" s="3" t="s">
        <v>14</v>
      </c>
      <c r="AJ3" s="3" t="s">
        <v>7</v>
      </c>
      <c r="AK3" s="3" t="s">
        <v>110</v>
      </c>
      <c r="AL3" s="3" t="s">
        <v>11</v>
      </c>
      <c r="AM3" s="3" t="s">
        <v>12</v>
      </c>
      <c r="AN3" s="3" t="s">
        <v>111</v>
      </c>
      <c r="AO3" s="127" t="s">
        <v>454</v>
      </c>
      <c r="AP3" s="127" t="s">
        <v>455</v>
      </c>
      <c r="AQ3" s="127" t="s">
        <v>456</v>
      </c>
      <c r="AR3" s="127" t="s">
        <v>457</v>
      </c>
      <c r="AS3" s="127" t="s">
        <v>458</v>
      </c>
      <c r="AT3" s="127" t="s">
        <v>459</v>
      </c>
      <c r="AU3" s="3" t="s">
        <v>20</v>
      </c>
      <c r="AV3" s="3" t="s">
        <v>21</v>
      </c>
      <c r="AW3" s="3" t="s">
        <v>22</v>
      </c>
      <c r="AX3" s="3" t="s">
        <v>27</v>
      </c>
      <c r="AY3" s="3" t="s">
        <v>23</v>
      </c>
      <c r="AZ3" s="120" t="s">
        <v>435</v>
      </c>
      <c r="BA3" s="5"/>
    </row>
    <row r="4" spans="1:53" x14ac:dyDescent="0.25">
      <c r="A4" s="24">
        <v>51759</v>
      </c>
      <c r="B4" s="24" t="s">
        <v>3</v>
      </c>
      <c r="C4" s="24" t="s">
        <v>4</v>
      </c>
      <c r="D4" s="25">
        <v>42182</v>
      </c>
      <c r="E4" s="24" t="s">
        <v>6</v>
      </c>
      <c r="F4" s="25">
        <v>42090</v>
      </c>
      <c r="G4" s="22"/>
      <c r="H4" s="26"/>
      <c r="I4" s="24" t="s">
        <v>29</v>
      </c>
      <c r="J4" s="26"/>
      <c r="K4" s="24">
        <v>24000000</v>
      </c>
      <c r="L4" s="24" t="s">
        <v>8</v>
      </c>
      <c r="M4" s="26"/>
      <c r="N4" s="26"/>
      <c r="O4" s="26"/>
      <c r="P4" s="26"/>
      <c r="Q4" s="26"/>
      <c r="R4" s="26"/>
      <c r="S4" s="26"/>
      <c r="T4" s="26"/>
      <c r="U4" s="26"/>
      <c r="V4" s="26"/>
      <c r="W4" s="24" t="s">
        <v>39</v>
      </c>
      <c r="X4" s="24" t="s">
        <v>45</v>
      </c>
      <c r="Y4" s="24" t="s">
        <v>40</v>
      </c>
      <c r="Z4" s="22" t="s">
        <v>44</v>
      </c>
      <c r="AA4" s="22" t="s">
        <v>35</v>
      </c>
      <c r="AB4" s="26"/>
      <c r="AC4" s="24" t="s">
        <v>32</v>
      </c>
      <c r="AD4" s="25">
        <v>42090</v>
      </c>
      <c r="AE4" s="24">
        <v>2</v>
      </c>
      <c r="AF4" s="26"/>
      <c r="AG4" s="26"/>
      <c r="AH4" s="26"/>
      <c r="AI4" s="24">
        <v>24000000</v>
      </c>
      <c r="AJ4" s="24" t="s">
        <v>8</v>
      </c>
      <c r="AK4" s="26"/>
      <c r="AL4" s="26"/>
      <c r="AM4" s="26"/>
      <c r="AN4" s="26"/>
      <c r="AO4" s="26"/>
      <c r="AP4" s="26"/>
      <c r="AQ4" s="26"/>
      <c r="AR4" s="26"/>
      <c r="AS4" s="26"/>
      <c r="AT4" s="26"/>
      <c r="AU4" s="24" t="s">
        <v>39</v>
      </c>
      <c r="AV4" s="24" t="s">
        <v>45</v>
      </c>
      <c r="AW4" s="24" t="s">
        <v>40</v>
      </c>
      <c r="AX4" s="22" t="s">
        <v>44</v>
      </c>
      <c r="AY4" s="22" t="s">
        <v>35</v>
      </c>
      <c r="AZ4" s="26"/>
    </row>
    <row r="9" spans="1:53" x14ac:dyDescent="0.25">
      <c r="A9" s="24" t="s">
        <v>73</v>
      </c>
    </row>
    <row r="10" spans="1:53" x14ac:dyDescent="0.25">
      <c r="A10" s="22" t="s">
        <v>72</v>
      </c>
    </row>
    <row r="11" spans="1:53" ht="45" x14ac:dyDescent="0.25">
      <c r="A11" s="57" t="s">
        <v>241</v>
      </c>
    </row>
  </sheetData>
  <mergeCells count="4">
    <mergeCell ref="A1:AT1"/>
    <mergeCell ref="A2:D2"/>
    <mergeCell ref="E2:V2"/>
    <mergeCell ref="AC2:AT2"/>
  </mergeCells>
  <dataValidations count="2">
    <dataValidation type="list" allowBlank="1" showInputMessage="1" showErrorMessage="1" sqref="Y1:Y2 AW1:AW2 AU1:AU2" xr:uid="{00000000-0002-0000-0700-000000000000}">
      <formula1>#REF!</formula1>
    </dataValidation>
    <dataValidation showDropDown="1" showInputMessage="1" showErrorMessage="1" sqref="H4 AF4" xr:uid="{39D2E910-9996-4652-9098-4C2A338C11D4}"/>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50"/>
  </sheetPr>
  <dimension ref="A1:BA25"/>
  <sheetViews>
    <sheetView workbookViewId="0">
      <selection sqref="A1:AT1"/>
    </sheetView>
  </sheetViews>
  <sheetFormatPr defaultColWidth="9" defaultRowHeight="15" x14ac:dyDescent="0.25"/>
  <cols>
    <col min="1" max="1" width="15.28515625" customWidth="1"/>
    <col min="2" max="2" width="9.140625" customWidth="1"/>
    <col min="3" max="3" width="9" customWidth="1"/>
    <col min="4" max="4" width="12.85546875" customWidth="1"/>
    <col min="5" max="5" width="9" customWidth="1"/>
    <col min="6" max="6" width="15.140625" customWidth="1"/>
    <col min="7" max="12" width="9" customWidth="1"/>
    <col min="13" max="13" width="12.28515625" customWidth="1"/>
    <col min="14" max="16" width="9" customWidth="1"/>
    <col min="17" max="17" width="15.42578125" customWidth="1"/>
    <col min="18" max="18" width="15.140625" customWidth="1"/>
    <col min="19" max="19" width="14.28515625" customWidth="1"/>
    <col min="20" max="20" width="15.140625" customWidth="1"/>
    <col min="21" max="21" width="13.140625" customWidth="1"/>
    <col min="22" max="22" width="13.85546875" customWidth="1"/>
    <col min="23" max="25" width="9" customWidth="1"/>
    <col min="26" max="27" width="13" customWidth="1"/>
    <col min="28" max="29" width="9" customWidth="1"/>
    <col min="30" max="30" width="15.28515625" customWidth="1"/>
    <col min="31" max="36" width="9" customWidth="1"/>
    <col min="37" max="37" width="14.28515625" customWidth="1"/>
    <col min="41" max="41" width="16.28515625" customWidth="1"/>
    <col min="42" max="42" width="16.42578125" customWidth="1"/>
    <col min="43" max="43" width="14.28515625" customWidth="1"/>
    <col min="44" max="44" width="15.140625" customWidth="1"/>
    <col min="45" max="45" width="13.140625" customWidth="1"/>
    <col min="46" max="46" width="13.85546875" customWidth="1"/>
  </cols>
  <sheetData>
    <row r="1" spans="1:53" s="1" customFormat="1" ht="39.75" customHeight="1" x14ac:dyDescent="0.25">
      <c r="A1" s="155" t="s">
        <v>77</v>
      </c>
      <c r="B1" s="155"/>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c r="AJ1" s="155"/>
      <c r="AK1" s="155"/>
      <c r="AL1" s="155"/>
      <c r="AM1" s="155"/>
      <c r="AN1" s="155"/>
      <c r="AO1" s="155"/>
      <c r="AP1" s="155"/>
      <c r="AQ1" s="155"/>
      <c r="AR1" s="155"/>
      <c r="AS1" s="155"/>
      <c r="AT1" s="155"/>
      <c r="AU1" s="8"/>
      <c r="AV1" s="8"/>
      <c r="AW1" s="8"/>
      <c r="AX1" s="8"/>
      <c r="AY1" s="8"/>
      <c r="AZ1" s="9"/>
      <c r="BA1" s="10"/>
    </row>
    <row r="2" spans="1:53" s="1" customFormat="1" ht="24" customHeight="1" x14ac:dyDescent="0.25">
      <c r="A2" s="149"/>
      <c r="B2" s="149"/>
      <c r="C2" s="149"/>
      <c r="D2" s="149"/>
      <c r="E2" s="147" t="s">
        <v>16</v>
      </c>
      <c r="F2" s="148"/>
      <c r="G2" s="148"/>
      <c r="H2" s="148"/>
      <c r="I2" s="148"/>
      <c r="J2" s="148"/>
      <c r="K2" s="148"/>
      <c r="L2" s="148"/>
      <c r="M2" s="148"/>
      <c r="N2" s="148"/>
      <c r="O2" s="148"/>
      <c r="P2" s="148"/>
      <c r="Q2" s="148"/>
      <c r="R2" s="148"/>
      <c r="S2" s="148"/>
      <c r="T2" s="148"/>
      <c r="U2" s="148"/>
      <c r="V2" s="148"/>
      <c r="W2" s="11"/>
      <c r="X2" s="11"/>
      <c r="Y2" s="11"/>
      <c r="Z2" s="11"/>
      <c r="AA2" s="11"/>
      <c r="AB2" s="11"/>
      <c r="AC2" s="150" t="s">
        <v>19</v>
      </c>
      <c r="AD2" s="151"/>
      <c r="AE2" s="151"/>
      <c r="AF2" s="151"/>
      <c r="AG2" s="151"/>
      <c r="AH2" s="151"/>
      <c r="AI2" s="151"/>
      <c r="AJ2" s="151"/>
      <c r="AK2" s="151"/>
      <c r="AL2" s="151"/>
      <c r="AM2" s="151"/>
      <c r="AN2" s="151"/>
      <c r="AO2" s="151"/>
      <c r="AP2" s="151"/>
      <c r="AQ2" s="151"/>
      <c r="AR2" s="151"/>
      <c r="AS2" s="151"/>
      <c r="AT2" s="151"/>
      <c r="AU2" s="12"/>
      <c r="AV2" s="12"/>
      <c r="AW2" s="12"/>
      <c r="AX2" s="12"/>
      <c r="AY2" s="12"/>
      <c r="AZ2" s="13"/>
    </row>
    <row r="3" spans="1:53" s="1" customFormat="1" ht="57.75" customHeight="1" thickBot="1" x14ac:dyDescent="0.3">
      <c r="A3" s="3" t="s">
        <v>28</v>
      </c>
      <c r="B3" s="3" t="s">
        <v>2</v>
      </c>
      <c r="C3" s="2" t="s">
        <v>15</v>
      </c>
      <c r="D3" s="3" t="s">
        <v>109</v>
      </c>
      <c r="E3" s="4" t="s">
        <v>17</v>
      </c>
      <c r="F3" s="3" t="s">
        <v>108</v>
      </c>
      <c r="G3" s="3" t="s">
        <v>18</v>
      </c>
      <c r="H3" s="3" t="s">
        <v>433</v>
      </c>
      <c r="I3" s="3" t="s">
        <v>24</v>
      </c>
      <c r="J3" s="3" t="s">
        <v>42</v>
      </c>
      <c r="K3" s="3" t="s">
        <v>14</v>
      </c>
      <c r="L3" s="3" t="s">
        <v>7</v>
      </c>
      <c r="M3" s="3" t="s">
        <v>110</v>
      </c>
      <c r="N3" s="3" t="s">
        <v>11</v>
      </c>
      <c r="O3" s="3" t="s">
        <v>12</v>
      </c>
      <c r="P3" s="3" t="s">
        <v>111</v>
      </c>
      <c r="Q3" s="127" t="s">
        <v>454</v>
      </c>
      <c r="R3" s="127" t="s">
        <v>455</v>
      </c>
      <c r="S3" s="127" t="s">
        <v>456</v>
      </c>
      <c r="T3" s="127" t="s">
        <v>457</v>
      </c>
      <c r="U3" s="127" t="s">
        <v>458</v>
      </c>
      <c r="V3" s="127" t="s">
        <v>459</v>
      </c>
      <c r="W3" s="3" t="s">
        <v>20</v>
      </c>
      <c r="X3" s="3" t="s">
        <v>21</v>
      </c>
      <c r="Y3" s="3" t="s">
        <v>22</v>
      </c>
      <c r="Z3" s="3" t="s">
        <v>27</v>
      </c>
      <c r="AA3" s="3" t="s">
        <v>23</v>
      </c>
      <c r="AB3" s="3" t="s">
        <v>435</v>
      </c>
      <c r="AC3" s="4" t="s">
        <v>17</v>
      </c>
      <c r="AD3" s="3" t="s">
        <v>108</v>
      </c>
      <c r="AE3" s="3" t="s">
        <v>18</v>
      </c>
      <c r="AF3" s="3" t="s">
        <v>433</v>
      </c>
      <c r="AG3" s="3" t="s">
        <v>24</v>
      </c>
      <c r="AH3" s="3" t="s">
        <v>42</v>
      </c>
      <c r="AI3" s="3" t="s">
        <v>14</v>
      </c>
      <c r="AJ3" s="3" t="s">
        <v>7</v>
      </c>
      <c r="AK3" s="3" t="s">
        <v>110</v>
      </c>
      <c r="AL3" s="3" t="s">
        <v>11</v>
      </c>
      <c r="AM3" s="3" t="s">
        <v>12</v>
      </c>
      <c r="AN3" s="3" t="s">
        <v>111</v>
      </c>
      <c r="AO3" s="127" t="s">
        <v>454</v>
      </c>
      <c r="AP3" s="127" t="s">
        <v>455</v>
      </c>
      <c r="AQ3" s="127" t="s">
        <v>456</v>
      </c>
      <c r="AR3" s="127" t="s">
        <v>457</v>
      </c>
      <c r="AS3" s="127" t="s">
        <v>458</v>
      </c>
      <c r="AT3" s="127" t="s">
        <v>459</v>
      </c>
      <c r="AU3" s="3" t="s">
        <v>20</v>
      </c>
      <c r="AV3" s="3" t="s">
        <v>21</v>
      </c>
      <c r="AW3" s="3" t="s">
        <v>22</v>
      </c>
      <c r="AX3" s="3" t="s">
        <v>27</v>
      </c>
      <c r="AY3" s="3" t="s">
        <v>23</v>
      </c>
      <c r="AZ3" s="120" t="s">
        <v>435</v>
      </c>
      <c r="BA3" s="5"/>
    </row>
    <row r="4" spans="1:53" x14ac:dyDescent="0.25">
      <c r="A4" s="24">
        <v>51511</v>
      </c>
      <c r="B4" s="24" t="s">
        <v>1</v>
      </c>
      <c r="C4" s="24" t="s">
        <v>4</v>
      </c>
      <c r="D4" s="25">
        <v>45083</v>
      </c>
      <c r="E4" s="24" t="s">
        <v>32</v>
      </c>
      <c r="F4" s="25">
        <v>41431</v>
      </c>
      <c r="G4" s="24">
        <v>1</v>
      </c>
      <c r="H4" s="26"/>
      <c r="I4" s="26"/>
      <c r="J4" s="22"/>
      <c r="K4" s="24">
        <v>1000000</v>
      </c>
      <c r="L4" s="24" t="s">
        <v>10</v>
      </c>
      <c r="M4" s="25">
        <v>41431</v>
      </c>
      <c r="N4" s="26"/>
      <c r="O4" s="26"/>
      <c r="P4" s="22"/>
      <c r="Q4" s="22"/>
      <c r="R4" s="22"/>
      <c r="S4" s="22"/>
      <c r="T4" s="22"/>
      <c r="U4" s="22"/>
      <c r="V4" s="22"/>
      <c r="W4" s="24" t="s">
        <v>33</v>
      </c>
      <c r="X4" s="24" t="s">
        <v>45</v>
      </c>
      <c r="Y4" s="24" t="s">
        <v>40</v>
      </c>
      <c r="Z4" s="22" t="s">
        <v>44</v>
      </c>
      <c r="AA4" s="22" t="s">
        <v>35</v>
      </c>
      <c r="AB4" s="26"/>
      <c r="AC4" s="24" t="s">
        <v>6</v>
      </c>
      <c r="AD4" s="25">
        <v>41431</v>
      </c>
      <c r="AE4" s="22"/>
      <c r="AF4" s="26"/>
      <c r="AG4" s="24" t="s">
        <v>29</v>
      </c>
      <c r="AH4" s="26"/>
      <c r="AI4" s="24">
        <v>1000000</v>
      </c>
      <c r="AJ4" s="24" t="s">
        <v>9</v>
      </c>
      <c r="AK4" s="25">
        <v>41431</v>
      </c>
      <c r="AL4" s="26"/>
      <c r="AM4" s="26"/>
      <c r="AN4" s="22"/>
      <c r="AO4" s="22"/>
      <c r="AP4" s="22"/>
      <c r="AQ4" s="22"/>
      <c r="AR4" s="22"/>
      <c r="AS4" s="22"/>
      <c r="AT4" s="22"/>
      <c r="AU4" s="24" t="s">
        <v>39</v>
      </c>
      <c r="AV4" s="24" t="s">
        <v>45</v>
      </c>
      <c r="AW4" s="24" t="s">
        <v>40</v>
      </c>
      <c r="AX4" s="22" t="s">
        <v>44</v>
      </c>
      <c r="AY4" s="22" t="s">
        <v>35</v>
      </c>
      <c r="AZ4" s="26"/>
    </row>
    <row r="5" spans="1:53" x14ac:dyDescent="0.25">
      <c r="A5" s="24">
        <v>51511</v>
      </c>
      <c r="B5" s="24" t="s">
        <v>1</v>
      </c>
      <c r="C5" s="24" t="s">
        <v>4</v>
      </c>
      <c r="D5" s="25">
        <v>45083</v>
      </c>
      <c r="E5" s="24" t="s">
        <v>32</v>
      </c>
      <c r="F5" s="25">
        <v>41431</v>
      </c>
      <c r="G5" s="24">
        <v>2</v>
      </c>
      <c r="H5" s="26"/>
      <c r="I5" s="26"/>
      <c r="J5" s="22"/>
      <c r="K5" s="24">
        <v>2000000</v>
      </c>
      <c r="L5" s="24" t="s">
        <v>10</v>
      </c>
      <c r="M5" s="25">
        <v>41796</v>
      </c>
      <c r="N5" s="26"/>
      <c r="O5" s="26"/>
      <c r="P5" s="22"/>
      <c r="Q5" s="22"/>
      <c r="R5" s="22"/>
      <c r="S5" s="22"/>
      <c r="T5" s="22"/>
      <c r="U5" s="22"/>
      <c r="V5" s="22"/>
      <c r="W5" s="24" t="s">
        <v>33</v>
      </c>
      <c r="X5" s="24" t="s">
        <v>45</v>
      </c>
      <c r="Y5" s="24" t="s">
        <v>40</v>
      </c>
      <c r="Z5" s="22" t="s">
        <v>44</v>
      </c>
      <c r="AA5" s="22" t="s">
        <v>35</v>
      </c>
      <c r="AB5" s="26"/>
      <c r="AC5" s="22"/>
      <c r="AD5" s="22"/>
      <c r="AE5" s="22"/>
      <c r="AF5" s="26"/>
      <c r="AG5" s="22"/>
      <c r="AH5" s="22"/>
      <c r="AI5" s="22"/>
      <c r="AJ5" s="22"/>
      <c r="AK5" s="22"/>
      <c r="AL5" s="26"/>
      <c r="AM5" s="26"/>
      <c r="AN5" s="22"/>
      <c r="AO5" s="22"/>
      <c r="AP5" s="22"/>
      <c r="AQ5" s="22"/>
      <c r="AR5" s="22"/>
      <c r="AS5" s="22"/>
      <c r="AT5" s="22"/>
      <c r="AU5" s="22"/>
      <c r="AV5" s="22"/>
      <c r="AW5" s="22"/>
      <c r="AX5" s="22"/>
      <c r="AY5" s="22"/>
      <c r="AZ5" s="26"/>
    </row>
    <row r="6" spans="1:53" x14ac:dyDescent="0.25">
      <c r="A6" s="24">
        <v>51511</v>
      </c>
      <c r="B6" s="24" t="s">
        <v>1</v>
      </c>
      <c r="C6" s="24" t="s">
        <v>4</v>
      </c>
      <c r="D6" s="25">
        <v>45083</v>
      </c>
      <c r="E6" s="24" t="s">
        <v>32</v>
      </c>
      <c r="F6" s="25">
        <v>41431</v>
      </c>
      <c r="G6" s="24">
        <v>3</v>
      </c>
      <c r="H6" s="26"/>
      <c r="I6" s="26"/>
      <c r="J6" s="22"/>
      <c r="K6" s="24">
        <v>3000000</v>
      </c>
      <c r="L6" s="24" t="s">
        <v>10</v>
      </c>
      <c r="M6" s="25">
        <v>42161</v>
      </c>
      <c r="N6" s="26"/>
      <c r="O6" s="26"/>
      <c r="P6" s="22"/>
      <c r="Q6" s="22"/>
      <c r="R6" s="22"/>
      <c r="S6" s="22"/>
      <c r="T6" s="22"/>
      <c r="U6" s="22"/>
      <c r="V6" s="22"/>
      <c r="W6" s="24" t="s">
        <v>33</v>
      </c>
      <c r="X6" s="24" t="s">
        <v>45</v>
      </c>
      <c r="Y6" s="24" t="s">
        <v>40</v>
      </c>
      <c r="Z6" s="22" t="s">
        <v>44</v>
      </c>
      <c r="AA6" s="22" t="s">
        <v>35</v>
      </c>
      <c r="AB6" s="26"/>
      <c r="AC6" s="22"/>
      <c r="AD6" s="22"/>
      <c r="AE6" s="22"/>
      <c r="AF6" s="26"/>
      <c r="AG6" s="22"/>
      <c r="AH6" s="22"/>
      <c r="AI6" s="22"/>
      <c r="AJ6" s="22"/>
      <c r="AK6" s="22"/>
      <c r="AL6" s="26"/>
      <c r="AM6" s="26"/>
      <c r="AN6" s="22"/>
      <c r="AO6" s="22"/>
      <c r="AP6" s="22"/>
      <c r="AQ6" s="22"/>
      <c r="AR6" s="22"/>
      <c r="AS6" s="22"/>
      <c r="AT6" s="22"/>
      <c r="AU6" s="22"/>
      <c r="AV6" s="22"/>
      <c r="AW6" s="22"/>
      <c r="AX6" s="22"/>
      <c r="AY6" s="22"/>
      <c r="AZ6" s="26"/>
    </row>
    <row r="7" spans="1:53" x14ac:dyDescent="0.25">
      <c r="A7" s="24">
        <v>51511</v>
      </c>
      <c r="B7" s="24" t="s">
        <v>1</v>
      </c>
      <c r="C7" s="24" t="s">
        <v>4</v>
      </c>
      <c r="D7" s="25">
        <v>45083</v>
      </c>
      <c r="E7" s="24" t="s">
        <v>32</v>
      </c>
      <c r="F7" s="25">
        <v>41431</v>
      </c>
      <c r="G7" s="24">
        <v>4</v>
      </c>
      <c r="H7" s="26"/>
      <c r="I7" s="26"/>
      <c r="J7" s="22"/>
      <c r="K7" s="24">
        <v>4000000</v>
      </c>
      <c r="L7" s="24" t="s">
        <v>10</v>
      </c>
      <c r="M7" s="25">
        <v>42527</v>
      </c>
      <c r="N7" s="26"/>
      <c r="O7" s="26"/>
      <c r="P7" s="22"/>
      <c r="Q7" s="22"/>
      <c r="R7" s="22"/>
      <c r="S7" s="22"/>
      <c r="T7" s="22"/>
      <c r="U7" s="22"/>
      <c r="V7" s="22"/>
      <c r="W7" s="24" t="s">
        <v>33</v>
      </c>
      <c r="X7" s="24" t="s">
        <v>45</v>
      </c>
      <c r="Y7" s="24" t="s">
        <v>40</v>
      </c>
      <c r="Z7" s="22" t="s">
        <v>44</v>
      </c>
      <c r="AA7" s="22" t="s">
        <v>35</v>
      </c>
      <c r="AB7" s="26"/>
      <c r="AC7" s="22"/>
      <c r="AD7" s="22"/>
      <c r="AE7" s="22"/>
      <c r="AF7" s="26"/>
      <c r="AG7" s="22"/>
      <c r="AH7" s="22"/>
      <c r="AI7" s="22"/>
      <c r="AJ7" s="22"/>
      <c r="AK7" s="22"/>
      <c r="AL7" s="26"/>
      <c r="AM7" s="26"/>
      <c r="AN7" s="22"/>
      <c r="AO7" s="22"/>
      <c r="AP7" s="22"/>
      <c r="AQ7" s="22"/>
      <c r="AR7" s="22"/>
      <c r="AS7" s="22"/>
      <c r="AT7" s="22"/>
      <c r="AU7" s="22"/>
      <c r="AV7" s="22"/>
      <c r="AW7" s="22"/>
      <c r="AX7" s="22"/>
      <c r="AY7" s="22"/>
      <c r="AZ7" s="26"/>
    </row>
    <row r="8" spans="1:53" x14ac:dyDescent="0.25">
      <c r="A8" s="24">
        <v>51511</v>
      </c>
      <c r="B8" s="24" t="s">
        <v>1</v>
      </c>
      <c r="C8" s="24" t="s">
        <v>4</v>
      </c>
      <c r="D8" s="25">
        <v>45083</v>
      </c>
      <c r="E8" s="24" t="s">
        <v>32</v>
      </c>
      <c r="F8" s="25">
        <v>41431</v>
      </c>
      <c r="G8" s="24">
        <v>5</v>
      </c>
      <c r="H8" s="26"/>
      <c r="I8" s="26"/>
      <c r="J8" s="22"/>
      <c r="K8" s="24">
        <v>5000000</v>
      </c>
      <c r="L8" s="24" t="s">
        <v>10</v>
      </c>
      <c r="M8" s="25">
        <v>42892</v>
      </c>
      <c r="N8" s="26"/>
      <c r="O8" s="26"/>
      <c r="P8" s="22"/>
      <c r="Q8" s="22"/>
      <c r="R8" s="22"/>
      <c r="S8" s="22"/>
      <c r="T8" s="22"/>
      <c r="U8" s="22"/>
      <c r="V8" s="22"/>
      <c r="W8" s="24" t="s">
        <v>33</v>
      </c>
      <c r="X8" s="24" t="s">
        <v>45</v>
      </c>
      <c r="Y8" s="24" t="s">
        <v>40</v>
      </c>
      <c r="Z8" s="22" t="s">
        <v>44</v>
      </c>
      <c r="AA8" s="22" t="s">
        <v>35</v>
      </c>
      <c r="AB8" s="26"/>
      <c r="AC8" s="22"/>
      <c r="AD8" s="22"/>
      <c r="AE8" s="22"/>
      <c r="AF8" s="26"/>
      <c r="AG8" s="22"/>
      <c r="AH8" s="22"/>
      <c r="AI8" s="22"/>
      <c r="AJ8" s="22"/>
      <c r="AK8" s="22"/>
      <c r="AL8" s="26"/>
      <c r="AM8" s="26"/>
      <c r="AN8" s="22"/>
      <c r="AO8" s="22"/>
      <c r="AP8" s="22"/>
      <c r="AQ8" s="22"/>
      <c r="AR8" s="22"/>
      <c r="AS8" s="22"/>
      <c r="AT8" s="22"/>
      <c r="AU8" s="22"/>
      <c r="AV8" s="22"/>
      <c r="AW8" s="22"/>
      <c r="AX8" s="22"/>
      <c r="AY8" s="22"/>
      <c r="AZ8" s="26"/>
    </row>
    <row r="9" spans="1:53" x14ac:dyDescent="0.25">
      <c r="A9" s="24">
        <v>51511</v>
      </c>
      <c r="B9" s="24" t="s">
        <v>1</v>
      </c>
      <c r="C9" s="24" t="s">
        <v>4</v>
      </c>
      <c r="D9" s="25">
        <v>45083</v>
      </c>
      <c r="E9" s="24" t="s">
        <v>32</v>
      </c>
      <c r="F9" s="25">
        <v>41431</v>
      </c>
      <c r="G9" s="24">
        <v>6</v>
      </c>
      <c r="H9" s="26"/>
      <c r="I9" s="26"/>
      <c r="J9" s="22"/>
      <c r="K9" s="24">
        <v>6000000</v>
      </c>
      <c r="L9" s="24" t="s">
        <v>10</v>
      </c>
      <c r="M9" s="25">
        <v>43257</v>
      </c>
      <c r="N9" s="26"/>
      <c r="O9" s="26"/>
      <c r="P9" s="22"/>
      <c r="Q9" s="22"/>
      <c r="R9" s="22"/>
      <c r="S9" s="22"/>
      <c r="T9" s="22"/>
      <c r="U9" s="22"/>
      <c r="V9" s="22"/>
      <c r="W9" s="24" t="s">
        <v>33</v>
      </c>
      <c r="X9" s="24" t="s">
        <v>45</v>
      </c>
      <c r="Y9" s="24" t="s">
        <v>40</v>
      </c>
      <c r="Z9" s="22" t="s">
        <v>44</v>
      </c>
      <c r="AA9" s="22" t="s">
        <v>35</v>
      </c>
      <c r="AB9" s="26"/>
      <c r="AC9" s="22"/>
      <c r="AD9" s="22"/>
      <c r="AE9" s="22"/>
      <c r="AF9" s="26"/>
      <c r="AG9" s="22"/>
      <c r="AH9" s="22"/>
      <c r="AI9" s="22"/>
      <c r="AJ9" s="22"/>
      <c r="AK9" s="22"/>
      <c r="AL9" s="26"/>
      <c r="AM9" s="26"/>
      <c r="AN9" s="22"/>
      <c r="AO9" s="22"/>
      <c r="AP9" s="22"/>
      <c r="AQ9" s="22"/>
      <c r="AR9" s="22"/>
      <c r="AS9" s="22"/>
      <c r="AT9" s="22"/>
      <c r="AU9" s="22"/>
      <c r="AV9" s="22"/>
      <c r="AW9" s="22"/>
      <c r="AX9" s="22"/>
      <c r="AY9" s="22"/>
      <c r="AZ9" s="26"/>
    </row>
    <row r="10" spans="1:53" x14ac:dyDescent="0.25">
      <c r="A10" s="24">
        <v>51511</v>
      </c>
      <c r="B10" s="24" t="s">
        <v>1</v>
      </c>
      <c r="C10" s="24" t="s">
        <v>4</v>
      </c>
      <c r="D10" s="25">
        <v>45083</v>
      </c>
      <c r="E10" s="24" t="s">
        <v>32</v>
      </c>
      <c r="F10" s="25">
        <v>41431</v>
      </c>
      <c r="G10" s="24">
        <v>7</v>
      </c>
      <c r="H10" s="26"/>
      <c r="I10" s="26"/>
      <c r="J10" s="22"/>
      <c r="K10" s="24">
        <v>7000000</v>
      </c>
      <c r="L10" s="24" t="s">
        <v>10</v>
      </c>
      <c r="M10" s="25">
        <v>43622</v>
      </c>
      <c r="N10" s="26"/>
      <c r="O10" s="26"/>
      <c r="P10" s="22"/>
      <c r="Q10" s="22"/>
      <c r="R10" s="22"/>
      <c r="S10" s="22"/>
      <c r="T10" s="22"/>
      <c r="U10" s="22"/>
      <c r="V10" s="22"/>
      <c r="W10" s="24" t="s">
        <v>33</v>
      </c>
      <c r="X10" s="24" t="s">
        <v>45</v>
      </c>
      <c r="Y10" s="24" t="s">
        <v>40</v>
      </c>
      <c r="Z10" s="22" t="s">
        <v>44</v>
      </c>
      <c r="AA10" s="22" t="s">
        <v>35</v>
      </c>
      <c r="AB10" s="26"/>
      <c r="AC10" s="22"/>
      <c r="AD10" s="22"/>
      <c r="AE10" s="22"/>
      <c r="AF10" s="26"/>
      <c r="AG10" s="22"/>
      <c r="AH10" s="22"/>
      <c r="AI10" s="22"/>
      <c r="AJ10" s="22"/>
      <c r="AK10" s="22"/>
      <c r="AL10" s="26"/>
      <c r="AM10" s="26"/>
      <c r="AN10" s="22"/>
      <c r="AO10" s="22"/>
      <c r="AP10" s="22"/>
      <c r="AQ10" s="22"/>
      <c r="AR10" s="22"/>
      <c r="AS10" s="22"/>
      <c r="AT10" s="22"/>
      <c r="AU10" s="22"/>
      <c r="AV10" s="22"/>
      <c r="AW10" s="22"/>
      <c r="AX10" s="22"/>
      <c r="AY10" s="22"/>
      <c r="AZ10" s="26"/>
    </row>
    <row r="11" spans="1:53" x14ac:dyDescent="0.25">
      <c r="A11" s="24">
        <v>51511</v>
      </c>
      <c r="B11" s="24" t="s">
        <v>1</v>
      </c>
      <c r="C11" s="24" t="s">
        <v>4</v>
      </c>
      <c r="D11" s="25">
        <v>45083</v>
      </c>
      <c r="E11" s="24" t="s">
        <v>32</v>
      </c>
      <c r="F11" s="25">
        <v>41431</v>
      </c>
      <c r="G11" s="24">
        <v>8</v>
      </c>
      <c r="H11" s="26"/>
      <c r="I11" s="26"/>
      <c r="J11" s="22"/>
      <c r="K11" s="24">
        <v>8000000</v>
      </c>
      <c r="L11" s="24" t="s">
        <v>10</v>
      </c>
      <c r="M11" s="25">
        <v>43988</v>
      </c>
      <c r="N11" s="26"/>
      <c r="O11" s="26"/>
      <c r="P11" s="22"/>
      <c r="Q11" s="22"/>
      <c r="R11" s="22"/>
      <c r="S11" s="22"/>
      <c r="T11" s="22"/>
      <c r="U11" s="22"/>
      <c r="V11" s="22"/>
      <c r="W11" s="24" t="s">
        <v>33</v>
      </c>
      <c r="X11" s="24" t="s">
        <v>45</v>
      </c>
      <c r="Y11" s="24" t="s">
        <v>40</v>
      </c>
      <c r="Z11" s="22" t="s">
        <v>44</v>
      </c>
      <c r="AA11" s="22" t="s">
        <v>35</v>
      </c>
      <c r="AB11" s="26"/>
      <c r="AC11" s="22"/>
      <c r="AD11" s="22"/>
      <c r="AE11" s="22"/>
      <c r="AF11" s="26"/>
      <c r="AG11" s="22"/>
      <c r="AH11" s="22"/>
      <c r="AI11" s="22"/>
      <c r="AJ11" s="22"/>
      <c r="AK11" s="22"/>
      <c r="AL11" s="26"/>
      <c r="AM11" s="26"/>
      <c r="AN11" s="22"/>
      <c r="AO11" s="22"/>
      <c r="AP11" s="22"/>
      <c r="AQ11" s="22"/>
      <c r="AR11" s="22"/>
      <c r="AS11" s="22"/>
      <c r="AT11" s="22"/>
      <c r="AU11" s="22"/>
      <c r="AV11" s="22"/>
      <c r="AW11" s="22"/>
      <c r="AX11" s="22"/>
      <c r="AY11" s="22"/>
      <c r="AZ11" s="26"/>
    </row>
    <row r="12" spans="1:53" x14ac:dyDescent="0.25">
      <c r="A12" s="24">
        <v>51511</v>
      </c>
      <c r="B12" s="24" t="s">
        <v>1</v>
      </c>
      <c r="C12" s="24" t="s">
        <v>4</v>
      </c>
      <c r="D12" s="25">
        <v>45083</v>
      </c>
      <c r="E12" s="24" t="s">
        <v>32</v>
      </c>
      <c r="F12" s="25">
        <v>41431</v>
      </c>
      <c r="G12" s="24">
        <v>9</v>
      </c>
      <c r="H12" s="26"/>
      <c r="I12" s="26"/>
      <c r="J12" s="22"/>
      <c r="K12" s="24">
        <v>9000000</v>
      </c>
      <c r="L12" s="24" t="s">
        <v>10</v>
      </c>
      <c r="M12" s="25">
        <v>44353</v>
      </c>
      <c r="N12" s="26"/>
      <c r="O12" s="26"/>
      <c r="P12" s="22"/>
      <c r="Q12" s="22"/>
      <c r="R12" s="22"/>
      <c r="S12" s="22"/>
      <c r="T12" s="22"/>
      <c r="U12" s="22"/>
      <c r="V12" s="22"/>
      <c r="W12" s="24" t="s">
        <v>33</v>
      </c>
      <c r="X12" s="24" t="s">
        <v>45</v>
      </c>
      <c r="Y12" s="24" t="s">
        <v>40</v>
      </c>
      <c r="Z12" s="22" t="s">
        <v>44</v>
      </c>
      <c r="AA12" s="22" t="s">
        <v>35</v>
      </c>
      <c r="AB12" s="26"/>
      <c r="AC12" s="22"/>
      <c r="AD12" s="22"/>
      <c r="AE12" s="22"/>
      <c r="AF12" s="26"/>
      <c r="AG12" s="22"/>
      <c r="AH12" s="22"/>
      <c r="AI12" s="22"/>
      <c r="AJ12" s="22"/>
      <c r="AK12" s="22"/>
      <c r="AL12" s="26"/>
      <c r="AM12" s="26"/>
      <c r="AN12" s="22"/>
      <c r="AO12" s="22"/>
      <c r="AP12" s="22"/>
      <c r="AQ12" s="22"/>
      <c r="AR12" s="22"/>
      <c r="AS12" s="22"/>
      <c r="AT12" s="22"/>
      <c r="AU12" s="22"/>
      <c r="AV12" s="22"/>
      <c r="AW12" s="22"/>
      <c r="AX12" s="22"/>
      <c r="AY12" s="22"/>
      <c r="AZ12" s="26"/>
    </row>
    <row r="13" spans="1:53" x14ac:dyDescent="0.25">
      <c r="A13" s="24">
        <v>51511</v>
      </c>
      <c r="B13" s="24" t="s">
        <v>1</v>
      </c>
      <c r="C13" s="24" t="s">
        <v>4</v>
      </c>
      <c r="D13" s="25">
        <v>45083</v>
      </c>
      <c r="E13" s="24" t="s">
        <v>32</v>
      </c>
      <c r="F13" s="25">
        <v>41431</v>
      </c>
      <c r="G13" s="24">
        <v>10</v>
      </c>
      <c r="H13" s="26"/>
      <c r="I13" s="26"/>
      <c r="J13" s="22"/>
      <c r="K13" s="24">
        <v>10000000</v>
      </c>
      <c r="L13" s="24" t="s">
        <v>10</v>
      </c>
      <c r="M13" s="25">
        <v>44718</v>
      </c>
      <c r="N13" s="26"/>
      <c r="O13" s="26"/>
      <c r="P13" s="22"/>
      <c r="Q13" s="22"/>
      <c r="R13" s="22"/>
      <c r="S13" s="22"/>
      <c r="T13" s="22"/>
      <c r="U13" s="22"/>
      <c r="V13" s="22"/>
      <c r="W13" s="24" t="s">
        <v>33</v>
      </c>
      <c r="X13" s="24" t="s">
        <v>45</v>
      </c>
      <c r="Y13" s="24" t="s">
        <v>40</v>
      </c>
      <c r="Z13" s="22" t="s">
        <v>44</v>
      </c>
      <c r="AA13" s="22" t="s">
        <v>35</v>
      </c>
      <c r="AB13" s="26"/>
      <c r="AC13" s="22"/>
      <c r="AD13" s="22"/>
      <c r="AE13" s="22"/>
      <c r="AF13" s="26"/>
      <c r="AG13" s="22"/>
      <c r="AH13" s="22"/>
      <c r="AI13" s="22"/>
      <c r="AJ13" s="22"/>
      <c r="AK13" s="22"/>
      <c r="AL13" s="26"/>
      <c r="AM13" s="26"/>
      <c r="AN13" s="22"/>
      <c r="AO13" s="22"/>
      <c r="AP13" s="22"/>
      <c r="AQ13" s="22"/>
      <c r="AR13" s="22"/>
      <c r="AS13" s="22"/>
      <c r="AT13" s="22"/>
      <c r="AU13" s="22"/>
      <c r="AV13" s="22"/>
      <c r="AW13" s="22"/>
      <c r="AX13" s="22"/>
      <c r="AY13" s="22"/>
      <c r="AZ13" s="26"/>
    </row>
    <row r="23" spans="1:1" x14ac:dyDescent="0.25">
      <c r="A23" s="24" t="s">
        <v>73</v>
      </c>
    </row>
    <row r="24" spans="1:1" x14ac:dyDescent="0.25">
      <c r="A24" s="22" t="s">
        <v>72</v>
      </c>
    </row>
    <row r="25" spans="1:1" ht="45" x14ac:dyDescent="0.25">
      <c r="A25" s="57" t="s">
        <v>241</v>
      </c>
    </row>
  </sheetData>
  <mergeCells count="4">
    <mergeCell ref="A1:AT1"/>
    <mergeCell ref="A2:D2"/>
    <mergeCell ref="E2:V2"/>
    <mergeCell ref="AC2:AT2"/>
  </mergeCells>
  <dataValidations count="2">
    <dataValidation type="list" allowBlank="1" showInputMessage="1" showErrorMessage="1" sqref="AU1:AU2 AW1:AW2 Y1:Y2" xr:uid="{00000000-0002-0000-0800-000000000000}">
      <formula1>#REF!</formula1>
    </dataValidation>
    <dataValidation showDropDown="1" showInputMessage="1" showErrorMessage="1" sqref="Q4:V4 AO4:AT4" xr:uid="{5BEF9941-53E6-448D-8ABE-E9C1ACF51281}"/>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50"/>
  </sheetPr>
  <dimension ref="A1:BA15"/>
  <sheetViews>
    <sheetView workbookViewId="0">
      <selection sqref="A1:AT1"/>
    </sheetView>
  </sheetViews>
  <sheetFormatPr defaultColWidth="9" defaultRowHeight="15" x14ac:dyDescent="0.25"/>
  <cols>
    <col min="1" max="1" width="17.28515625" customWidth="1"/>
    <col min="2" max="2" width="9.140625" customWidth="1"/>
    <col min="3" max="3" width="9" customWidth="1"/>
    <col min="4" max="4" width="11.85546875" customWidth="1"/>
    <col min="5" max="5" width="9" customWidth="1"/>
    <col min="6" max="6" width="15" customWidth="1"/>
    <col min="7" max="10" width="9" customWidth="1"/>
    <col min="11" max="11" width="14.85546875" customWidth="1"/>
    <col min="12" max="16" width="9" customWidth="1"/>
    <col min="17" max="17" width="14.85546875" customWidth="1"/>
    <col min="18" max="18" width="16.85546875" customWidth="1"/>
    <col min="19" max="19" width="14.28515625" customWidth="1"/>
    <col min="20" max="20" width="15.140625" customWidth="1"/>
    <col min="21" max="21" width="13.140625" customWidth="1"/>
    <col min="22" max="22" width="13.85546875" customWidth="1"/>
    <col min="23" max="29" width="9" customWidth="1"/>
    <col min="30" max="30" width="15" customWidth="1"/>
    <col min="31" max="34" width="9" customWidth="1"/>
    <col min="35" max="35" width="15.5703125" customWidth="1"/>
    <col min="36" max="38" width="9" customWidth="1"/>
    <col min="39" max="39" width="11.42578125" customWidth="1"/>
    <col min="41" max="41" width="15" customWidth="1"/>
    <col min="42" max="42" width="15.42578125" customWidth="1"/>
    <col min="43" max="43" width="14.28515625" customWidth="1"/>
    <col min="44" max="44" width="15.140625" customWidth="1"/>
    <col min="45" max="45" width="13.140625" customWidth="1"/>
    <col min="46" max="46" width="13.85546875" customWidth="1"/>
  </cols>
  <sheetData>
    <row r="1" spans="1:53" s="1" customFormat="1" ht="39.75" customHeight="1" x14ac:dyDescent="0.25">
      <c r="A1" s="155" t="s">
        <v>76</v>
      </c>
      <c r="B1" s="155"/>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c r="AJ1" s="155"/>
      <c r="AK1" s="155"/>
      <c r="AL1" s="155"/>
      <c r="AM1" s="155"/>
      <c r="AN1" s="155"/>
      <c r="AO1" s="155"/>
      <c r="AP1" s="155"/>
      <c r="AQ1" s="155"/>
      <c r="AR1" s="155"/>
      <c r="AS1" s="155"/>
      <c r="AT1" s="155"/>
      <c r="AU1" s="8"/>
      <c r="AV1" s="8"/>
      <c r="AW1" s="8"/>
      <c r="AX1" s="8"/>
      <c r="AY1" s="8"/>
      <c r="AZ1" s="9"/>
      <c r="BA1" s="10"/>
    </row>
    <row r="2" spans="1:53" s="1" customFormat="1" ht="24" customHeight="1" x14ac:dyDescent="0.25">
      <c r="A2" s="149"/>
      <c r="B2" s="149"/>
      <c r="C2" s="149"/>
      <c r="D2" s="149"/>
      <c r="E2" s="147" t="s">
        <v>16</v>
      </c>
      <c r="F2" s="148"/>
      <c r="G2" s="148"/>
      <c r="H2" s="148"/>
      <c r="I2" s="148"/>
      <c r="J2" s="148"/>
      <c r="K2" s="148"/>
      <c r="L2" s="148"/>
      <c r="M2" s="148"/>
      <c r="N2" s="148"/>
      <c r="O2" s="148"/>
      <c r="P2" s="148"/>
      <c r="Q2" s="148"/>
      <c r="R2" s="148"/>
      <c r="S2" s="148"/>
      <c r="T2" s="148"/>
      <c r="U2" s="148"/>
      <c r="V2" s="148"/>
      <c r="W2" s="11"/>
      <c r="X2" s="11"/>
      <c r="Y2" s="11"/>
      <c r="Z2" s="11"/>
      <c r="AA2" s="11"/>
      <c r="AB2" s="11"/>
      <c r="AC2" s="150" t="s">
        <v>19</v>
      </c>
      <c r="AD2" s="151"/>
      <c r="AE2" s="151"/>
      <c r="AF2" s="151"/>
      <c r="AG2" s="151"/>
      <c r="AH2" s="151"/>
      <c r="AI2" s="151"/>
      <c r="AJ2" s="151"/>
      <c r="AK2" s="151"/>
      <c r="AL2" s="151"/>
      <c r="AM2" s="151"/>
      <c r="AN2" s="151"/>
      <c r="AO2" s="151"/>
      <c r="AP2" s="151"/>
      <c r="AQ2" s="151"/>
      <c r="AR2" s="151"/>
      <c r="AS2" s="151"/>
      <c r="AT2" s="151"/>
      <c r="AU2" s="12"/>
      <c r="AV2" s="12"/>
      <c r="AW2" s="12"/>
      <c r="AX2" s="12"/>
      <c r="AY2" s="12"/>
      <c r="AZ2" s="13"/>
    </row>
    <row r="3" spans="1:53" s="1" customFormat="1" ht="57.75" customHeight="1" thickBot="1" x14ac:dyDescent="0.3">
      <c r="A3" s="3" t="s">
        <v>28</v>
      </c>
      <c r="B3" s="3" t="s">
        <v>2</v>
      </c>
      <c r="C3" s="2" t="s">
        <v>15</v>
      </c>
      <c r="D3" s="3" t="s">
        <v>109</v>
      </c>
      <c r="E3" s="4" t="s">
        <v>17</v>
      </c>
      <c r="F3" s="3" t="s">
        <v>108</v>
      </c>
      <c r="G3" s="3" t="s">
        <v>18</v>
      </c>
      <c r="H3" s="3" t="s">
        <v>433</v>
      </c>
      <c r="I3" s="3" t="s">
        <v>24</v>
      </c>
      <c r="J3" s="3" t="s">
        <v>42</v>
      </c>
      <c r="K3" s="3" t="s">
        <v>14</v>
      </c>
      <c r="L3" s="3" t="s">
        <v>7</v>
      </c>
      <c r="M3" s="3" t="s">
        <v>110</v>
      </c>
      <c r="N3" s="3" t="s">
        <v>11</v>
      </c>
      <c r="O3" s="3" t="s">
        <v>12</v>
      </c>
      <c r="P3" s="3" t="s">
        <v>111</v>
      </c>
      <c r="Q3" s="127" t="s">
        <v>454</v>
      </c>
      <c r="R3" s="127" t="s">
        <v>455</v>
      </c>
      <c r="S3" s="127" t="s">
        <v>456</v>
      </c>
      <c r="T3" s="127" t="s">
        <v>457</v>
      </c>
      <c r="U3" s="127" t="s">
        <v>458</v>
      </c>
      <c r="V3" s="127" t="s">
        <v>459</v>
      </c>
      <c r="W3" s="3" t="s">
        <v>20</v>
      </c>
      <c r="X3" s="3" t="s">
        <v>21</v>
      </c>
      <c r="Y3" s="3" t="s">
        <v>22</v>
      </c>
      <c r="Z3" s="3" t="s">
        <v>27</v>
      </c>
      <c r="AA3" s="3" t="s">
        <v>23</v>
      </c>
      <c r="AB3" s="3" t="s">
        <v>435</v>
      </c>
      <c r="AC3" s="4" t="s">
        <v>17</v>
      </c>
      <c r="AD3" s="3" t="s">
        <v>108</v>
      </c>
      <c r="AE3" s="3" t="s">
        <v>18</v>
      </c>
      <c r="AF3" s="3" t="s">
        <v>433</v>
      </c>
      <c r="AG3" s="3" t="s">
        <v>24</v>
      </c>
      <c r="AH3" s="3" t="s">
        <v>42</v>
      </c>
      <c r="AI3" s="3" t="s">
        <v>14</v>
      </c>
      <c r="AJ3" s="3" t="s">
        <v>7</v>
      </c>
      <c r="AK3" s="3" t="s">
        <v>110</v>
      </c>
      <c r="AL3" s="3" t="s">
        <v>11</v>
      </c>
      <c r="AM3" s="3" t="s">
        <v>12</v>
      </c>
      <c r="AN3" s="3" t="s">
        <v>111</v>
      </c>
      <c r="AO3" s="127" t="s">
        <v>454</v>
      </c>
      <c r="AP3" s="127" t="s">
        <v>455</v>
      </c>
      <c r="AQ3" s="127" t="s">
        <v>456</v>
      </c>
      <c r="AR3" s="127" t="s">
        <v>457</v>
      </c>
      <c r="AS3" s="127" t="s">
        <v>458</v>
      </c>
      <c r="AT3" s="127" t="s">
        <v>459</v>
      </c>
      <c r="AU3" s="3" t="s">
        <v>20</v>
      </c>
      <c r="AV3" s="3" t="s">
        <v>21</v>
      </c>
      <c r="AW3" s="3" t="s">
        <v>22</v>
      </c>
      <c r="AX3" s="3" t="s">
        <v>27</v>
      </c>
      <c r="AY3" s="3" t="s">
        <v>23</v>
      </c>
      <c r="AZ3" s="120" t="s">
        <v>435</v>
      </c>
      <c r="BA3" s="5"/>
    </row>
    <row r="4" spans="1:53" x14ac:dyDescent="0.25">
      <c r="A4" s="24">
        <v>49004</v>
      </c>
      <c r="B4" s="24" t="s">
        <v>0</v>
      </c>
      <c r="C4" s="24" t="s">
        <v>4</v>
      </c>
      <c r="D4" s="25">
        <v>43248</v>
      </c>
      <c r="E4" s="24" t="s">
        <v>6</v>
      </c>
      <c r="F4" s="25">
        <v>41422</v>
      </c>
      <c r="G4" s="22"/>
      <c r="H4" s="26"/>
      <c r="I4" s="24" t="s">
        <v>376</v>
      </c>
      <c r="J4" s="26"/>
      <c r="K4" s="24">
        <v>100000000</v>
      </c>
      <c r="L4" s="24" t="s">
        <v>8</v>
      </c>
      <c r="M4" s="26"/>
      <c r="N4" s="26"/>
      <c r="O4" s="26"/>
      <c r="P4" s="26"/>
      <c r="Q4" s="22"/>
      <c r="R4" s="22"/>
      <c r="S4" s="26"/>
      <c r="T4" s="26"/>
      <c r="U4" s="26"/>
      <c r="V4" s="26"/>
      <c r="W4" s="24" t="s">
        <v>39</v>
      </c>
      <c r="X4" s="24" t="s">
        <v>45</v>
      </c>
      <c r="Y4" s="24" t="s">
        <v>40</v>
      </c>
      <c r="Z4" s="22" t="s">
        <v>44</v>
      </c>
      <c r="AA4" s="22" t="s">
        <v>35</v>
      </c>
      <c r="AB4" s="26"/>
      <c r="AC4" s="23" t="s">
        <v>32</v>
      </c>
      <c r="AD4" s="25">
        <v>41422</v>
      </c>
      <c r="AE4" s="23">
        <v>1</v>
      </c>
      <c r="AF4" s="26"/>
      <c r="AG4" s="26"/>
      <c r="AH4" s="26"/>
      <c r="AI4" s="23">
        <v>100000000</v>
      </c>
      <c r="AJ4" s="23" t="s">
        <v>8</v>
      </c>
      <c r="AK4" s="26"/>
      <c r="AL4" s="26"/>
      <c r="AM4" s="26"/>
      <c r="AN4" s="26"/>
      <c r="AO4" s="22"/>
      <c r="AP4" s="22"/>
      <c r="AQ4" s="26"/>
      <c r="AR4" s="26"/>
      <c r="AS4" s="26"/>
      <c r="AT4" s="26"/>
      <c r="AU4" s="24" t="s">
        <v>39</v>
      </c>
      <c r="AV4" s="24" t="s">
        <v>45</v>
      </c>
      <c r="AW4" s="24" t="s">
        <v>40</v>
      </c>
      <c r="AX4" s="22" t="s">
        <v>44</v>
      </c>
      <c r="AY4" s="22" t="s">
        <v>35</v>
      </c>
      <c r="AZ4" s="26"/>
    </row>
    <row r="12" spans="1:53" x14ac:dyDescent="0.25">
      <c r="A12" s="24" t="s">
        <v>73</v>
      </c>
    </row>
    <row r="13" spans="1:53" x14ac:dyDescent="0.25">
      <c r="A13" s="22" t="s">
        <v>72</v>
      </c>
    </row>
    <row r="14" spans="1:53" ht="36" customHeight="1" x14ac:dyDescent="0.25">
      <c r="A14" s="57" t="s">
        <v>241</v>
      </c>
    </row>
    <row r="15" spans="1:53" x14ac:dyDescent="0.25">
      <c r="A15" s="31"/>
    </row>
  </sheetData>
  <mergeCells count="4">
    <mergeCell ref="A1:AT1"/>
    <mergeCell ref="A2:D2"/>
    <mergeCell ref="E2:V2"/>
    <mergeCell ref="AC2:AT2"/>
  </mergeCells>
  <dataValidations count="2">
    <dataValidation type="list" allowBlank="1" showInputMessage="1" showErrorMessage="1" sqref="AU1:AU2 AW1:AW2 Y1:Y2" xr:uid="{00000000-0002-0000-0900-000000000000}">
      <formula1>#REF!</formula1>
    </dataValidation>
    <dataValidation showDropDown="1" showInputMessage="1" showErrorMessage="1" sqref="H4 AF4 Q4:R4 AO4:AP4" xr:uid="{6FBA988A-AD40-4915-9579-B00D1C5EADF2}"/>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BA12"/>
  <sheetViews>
    <sheetView workbookViewId="0">
      <selection sqref="A1:AT1"/>
    </sheetView>
  </sheetViews>
  <sheetFormatPr defaultColWidth="9" defaultRowHeight="15" x14ac:dyDescent="0.25"/>
  <cols>
    <col min="1" max="1" width="14.28515625" customWidth="1"/>
    <col min="2" max="2" width="12.5703125" customWidth="1"/>
    <col min="3" max="3" width="9" customWidth="1"/>
    <col min="4" max="4" width="16.7109375" customWidth="1"/>
    <col min="6" max="6" width="15.42578125" customWidth="1"/>
    <col min="17" max="17" width="15.28515625" customWidth="1"/>
    <col min="18" max="18" width="16.140625" customWidth="1"/>
    <col min="19" max="19" width="14.28515625" customWidth="1"/>
    <col min="20" max="20" width="15.140625" customWidth="1"/>
    <col min="21" max="21" width="13.140625" customWidth="1"/>
    <col min="22" max="22" width="13.85546875" customWidth="1"/>
    <col min="30" max="30" width="15.7109375" customWidth="1"/>
    <col min="41" max="42" width="15.42578125" customWidth="1"/>
    <col min="43" max="43" width="14.28515625" customWidth="1"/>
    <col min="44" max="44" width="15.140625" customWidth="1"/>
    <col min="45" max="45" width="13.140625" customWidth="1"/>
    <col min="46" max="46" width="13.85546875" customWidth="1"/>
  </cols>
  <sheetData>
    <row r="1" spans="1:53" s="1" customFormat="1" ht="39.75" customHeight="1" x14ac:dyDescent="0.25">
      <c r="A1" s="155" t="s">
        <v>80</v>
      </c>
      <c r="B1" s="155"/>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c r="AJ1" s="155"/>
      <c r="AK1" s="155"/>
      <c r="AL1" s="155"/>
      <c r="AM1" s="155"/>
      <c r="AN1" s="155"/>
      <c r="AO1" s="155"/>
      <c r="AP1" s="155"/>
      <c r="AQ1" s="155"/>
      <c r="AR1" s="155"/>
      <c r="AS1" s="155"/>
      <c r="AT1" s="155"/>
      <c r="AU1" s="8"/>
      <c r="AV1" s="8"/>
      <c r="AW1" s="8"/>
      <c r="AX1" s="8"/>
      <c r="AY1" s="8"/>
      <c r="AZ1" s="9"/>
      <c r="BA1" s="10"/>
    </row>
    <row r="2" spans="1:53" s="1" customFormat="1" ht="24" customHeight="1" x14ac:dyDescent="0.25">
      <c r="A2" s="149"/>
      <c r="B2" s="149"/>
      <c r="C2" s="149"/>
      <c r="D2" s="149"/>
      <c r="E2" s="147" t="s">
        <v>16</v>
      </c>
      <c r="F2" s="148"/>
      <c r="G2" s="148"/>
      <c r="H2" s="148"/>
      <c r="I2" s="148"/>
      <c r="J2" s="148"/>
      <c r="K2" s="148"/>
      <c r="L2" s="148"/>
      <c r="M2" s="148"/>
      <c r="N2" s="148"/>
      <c r="O2" s="148"/>
      <c r="P2" s="148"/>
      <c r="Q2" s="148"/>
      <c r="R2" s="148"/>
      <c r="S2" s="148"/>
      <c r="T2" s="148"/>
      <c r="U2" s="148"/>
      <c r="V2" s="148"/>
      <c r="W2" s="11"/>
      <c r="X2" s="11"/>
      <c r="Y2" s="11"/>
      <c r="Z2" s="11"/>
      <c r="AA2" s="11"/>
      <c r="AB2" s="11"/>
      <c r="AC2" s="150" t="s">
        <v>19</v>
      </c>
      <c r="AD2" s="151"/>
      <c r="AE2" s="151"/>
      <c r="AF2" s="151"/>
      <c r="AG2" s="151"/>
      <c r="AH2" s="151"/>
      <c r="AI2" s="151"/>
      <c r="AJ2" s="151"/>
      <c r="AK2" s="151"/>
      <c r="AL2" s="151"/>
      <c r="AM2" s="151"/>
      <c r="AN2" s="151"/>
      <c r="AO2" s="151"/>
      <c r="AP2" s="151"/>
      <c r="AQ2" s="151"/>
      <c r="AR2" s="151"/>
      <c r="AS2" s="151"/>
      <c r="AT2" s="151"/>
      <c r="AU2" s="12"/>
      <c r="AV2" s="12"/>
      <c r="AW2" s="12"/>
      <c r="AX2" s="12"/>
      <c r="AY2" s="12"/>
      <c r="AZ2" s="13"/>
    </row>
    <row r="3" spans="1:53" s="1" customFormat="1" ht="57.75" customHeight="1" thickBot="1" x14ac:dyDescent="0.3">
      <c r="A3" s="3" t="s">
        <v>28</v>
      </c>
      <c r="B3" s="3" t="s">
        <v>2</v>
      </c>
      <c r="C3" s="2" t="s">
        <v>15</v>
      </c>
      <c r="D3" s="3" t="s">
        <v>109</v>
      </c>
      <c r="E3" s="4" t="s">
        <v>17</v>
      </c>
      <c r="F3" s="3" t="s">
        <v>108</v>
      </c>
      <c r="G3" s="3" t="s">
        <v>18</v>
      </c>
      <c r="H3" s="3" t="s">
        <v>433</v>
      </c>
      <c r="I3" s="3" t="s">
        <v>24</v>
      </c>
      <c r="J3" s="3" t="s">
        <v>42</v>
      </c>
      <c r="K3" s="3" t="s">
        <v>14</v>
      </c>
      <c r="L3" s="3" t="s">
        <v>7</v>
      </c>
      <c r="M3" s="3" t="s">
        <v>110</v>
      </c>
      <c r="N3" s="3" t="s">
        <v>11</v>
      </c>
      <c r="O3" s="3" t="s">
        <v>12</v>
      </c>
      <c r="P3" s="3" t="s">
        <v>111</v>
      </c>
      <c r="Q3" s="127" t="s">
        <v>454</v>
      </c>
      <c r="R3" s="127" t="s">
        <v>455</v>
      </c>
      <c r="S3" s="127" t="s">
        <v>456</v>
      </c>
      <c r="T3" s="127" t="s">
        <v>457</v>
      </c>
      <c r="U3" s="127" t="s">
        <v>458</v>
      </c>
      <c r="V3" s="127" t="s">
        <v>459</v>
      </c>
      <c r="W3" s="3" t="s">
        <v>20</v>
      </c>
      <c r="X3" s="3" t="s">
        <v>21</v>
      </c>
      <c r="Y3" s="3" t="s">
        <v>22</v>
      </c>
      <c r="Z3" s="3" t="s">
        <v>27</v>
      </c>
      <c r="AA3" s="3" t="s">
        <v>23</v>
      </c>
      <c r="AB3" s="3" t="s">
        <v>435</v>
      </c>
      <c r="AC3" s="4" t="s">
        <v>17</v>
      </c>
      <c r="AD3" s="3" t="s">
        <v>108</v>
      </c>
      <c r="AE3" s="3" t="s">
        <v>18</v>
      </c>
      <c r="AF3" s="3" t="s">
        <v>433</v>
      </c>
      <c r="AG3" s="3" t="s">
        <v>24</v>
      </c>
      <c r="AH3" s="3" t="s">
        <v>42</v>
      </c>
      <c r="AI3" s="3" t="s">
        <v>14</v>
      </c>
      <c r="AJ3" s="3" t="s">
        <v>7</v>
      </c>
      <c r="AK3" s="3" t="s">
        <v>110</v>
      </c>
      <c r="AL3" s="3" t="s">
        <v>11</v>
      </c>
      <c r="AM3" s="3" t="s">
        <v>12</v>
      </c>
      <c r="AN3" s="3" t="s">
        <v>111</v>
      </c>
      <c r="AO3" s="127" t="s">
        <v>454</v>
      </c>
      <c r="AP3" s="127" t="s">
        <v>455</v>
      </c>
      <c r="AQ3" s="127" t="s">
        <v>456</v>
      </c>
      <c r="AR3" s="127" t="s">
        <v>457</v>
      </c>
      <c r="AS3" s="127" t="s">
        <v>458</v>
      </c>
      <c r="AT3" s="127" t="s">
        <v>459</v>
      </c>
      <c r="AU3" s="3" t="s">
        <v>20</v>
      </c>
      <c r="AV3" s="3" t="s">
        <v>21</v>
      </c>
      <c r="AW3" s="3" t="s">
        <v>22</v>
      </c>
      <c r="AX3" s="3" t="s">
        <v>27</v>
      </c>
      <c r="AY3" s="3" t="s">
        <v>23</v>
      </c>
      <c r="AZ3" s="120" t="s">
        <v>435</v>
      </c>
      <c r="BA3" s="5"/>
    </row>
    <row r="4" spans="1:53" x14ac:dyDescent="0.25">
      <c r="A4" s="24">
        <v>267771</v>
      </c>
      <c r="B4" s="24" t="s">
        <v>31</v>
      </c>
      <c r="C4" s="24" t="s">
        <v>4</v>
      </c>
      <c r="D4" s="25">
        <v>45454</v>
      </c>
      <c r="E4" s="24" t="s">
        <v>6</v>
      </c>
      <c r="F4" s="25">
        <v>41801</v>
      </c>
      <c r="G4" s="22">
        <v>55</v>
      </c>
      <c r="H4" s="26"/>
      <c r="I4" s="24" t="s">
        <v>29</v>
      </c>
      <c r="J4" s="27"/>
      <c r="K4" s="24">
        <v>30000000</v>
      </c>
      <c r="L4" s="24" t="s">
        <v>8</v>
      </c>
      <c r="M4" s="26"/>
      <c r="N4" s="26"/>
      <c r="O4" s="26"/>
      <c r="P4" s="26"/>
      <c r="Q4" s="22"/>
      <c r="R4" s="22"/>
      <c r="S4" s="22"/>
      <c r="T4" s="22"/>
      <c r="U4" s="22"/>
      <c r="V4" s="22"/>
      <c r="W4" s="24" t="s">
        <v>39</v>
      </c>
      <c r="X4" s="24" t="s">
        <v>45</v>
      </c>
      <c r="Y4" s="24" t="s">
        <v>40</v>
      </c>
      <c r="Z4" s="22" t="s">
        <v>44</v>
      </c>
      <c r="AA4" s="22" t="s">
        <v>35</v>
      </c>
      <c r="AB4" s="26"/>
      <c r="AC4" s="24" t="s">
        <v>6</v>
      </c>
      <c r="AD4" s="25">
        <v>41801</v>
      </c>
      <c r="AE4" s="22"/>
      <c r="AF4" s="26"/>
      <c r="AG4" s="24" t="s">
        <v>29</v>
      </c>
      <c r="AH4" s="26"/>
      <c r="AI4" s="24">
        <v>30000000</v>
      </c>
      <c r="AJ4" s="24" t="s">
        <v>9</v>
      </c>
      <c r="AK4" s="26"/>
      <c r="AL4" s="26"/>
      <c r="AM4" s="26"/>
      <c r="AN4" s="26"/>
      <c r="AO4" s="22"/>
      <c r="AP4" s="22"/>
      <c r="AQ4" s="22"/>
      <c r="AR4" s="22"/>
      <c r="AS4" s="22"/>
      <c r="AT4" s="22"/>
      <c r="AU4" s="24" t="s">
        <v>39</v>
      </c>
      <c r="AV4" s="24" t="s">
        <v>45</v>
      </c>
      <c r="AW4" s="24" t="s">
        <v>40</v>
      </c>
      <c r="AX4" s="22" t="s">
        <v>44</v>
      </c>
      <c r="AY4" s="22" t="s">
        <v>35</v>
      </c>
      <c r="AZ4" s="26"/>
    </row>
    <row r="10" spans="1:53" x14ac:dyDescent="0.25">
      <c r="A10" s="24" t="s">
        <v>73</v>
      </c>
    </row>
    <row r="11" spans="1:53" x14ac:dyDescent="0.25">
      <c r="A11" s="22" t="s">
        <v>72</v>
      </c>
    </row>
    <row r="12" spans="1:53" ht="45" x14ac:dyDescent="0.25">
      <c r="A12" s="57" t="s">
        <v>241</v>
      </c>
    </row>
  </sheetData>
  <mergeCells count="4">
    <mergeCell ref="A1:AT1"/>
    <mergeCell ref="A2:D2"/>
    <mergeCell ref="E2:V2"/>
    <mergeCell ref="AC2:AT2"/>
  </mergeCells>
  <dataValidations count="2">
    <dataValidation type="list" allowBlank="1" showInputMessage="1" showErrorMessage="1" sqref="AU1:AU2 AW1:AW2 Y1:Y2" xr:uid="{00000000-0002-0000-0A00-000000000000}">
      <formula1>#REF!</formula1>
    </dataValidation>
    <dataValidation showDropDown="1" showInputMessage="1" showErrorMessage="1" sqref="H4 AF4 Q4:V4 AO4:AT4" xr:uid="{91298F6C-C6B1-47B3-B7AD-A5B54909D96D}"/>
  </dataValidations>
  <pageMargins left="0.7" right="0.7" top="0.75" bottom="0.75" header="0.3" footer="0.3"/>
  <pageSetup paperSize="9" orientation="portrait" r:id="rId1"/>
  <headerFooter>
    <oddFooter>&amp;C&amp;1#&amp;"Calibri"&amp;10&amp;K000000Internal</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BA34"/>
  <sheetViews>
    <sheetView zoomScaleNormal="100" workbookViewId="0">
      <selection sqref="A1:AT1"/>
    </sheetView>
  </sheetViews>
  <sheetFormatPr defaultColWidth="9" defaultRowHeight="15" x14ac:dyDescent="0.25"/>
  <cols>
    <col min="1" max="1" width="15.5703125" customWidth="1"/>
    <col min="2" max="2" width="9.140625" customWidth="1"/>
    <col min="3" max="3" width="9" customWidth="1"/>
    <col min="4" max="4" width="11.85546875" customWidth="1"/>
    <col min="5" max="5" width="9" customWidth="1"/>
    <col min="6" max="6" width="16.140625" customWidth="1"/>
    <col min="7" max="9" width="9" customWidth="1"/>
    <col min="10" max="10" width="15.7109375" customWidth="1"/>
    <col min="11" max="11" width="13.42578125" customWidth="1"/>
    <col min="12" max="16" width="9" customWidth="1"/>
    <col min="17" max="17" width="15.140625" customWidth="1"/>
    <col min="18" max="18" width="15.28515625" customWidth="1"/>
    <col min="19" max="19" width="14.28515625" customWidth="1"/>
    <col min="20" max="20" width="15.140625" customWidth="1"/>
    <col min="21" max="21" width="13.140625" customWidth="1"/>
    <col min="22" max="22" width="13.85546875" customWidth="1"/>
    <col min="23" max="23" width="9" customWidth="1"/>
    <col min="24" max="24" width="13.140625" customWidth="1"/>
    <col min="25" max="25" width="9" customWidth="1"/>
    <col min="26" max="27" width="12.5703125" customWidth="1"/>
    <col min="28" max="29" width="9" customWidth="1"/>
    <col min="30" max="30" width="16" customWidth="1"/>
    <col min="31" max="40" width="9" customWidth="1"/>
    <col min="41" max="41" width="15.28515625" customWidth="1"/>
    <col min="42" max="42" width="15.42578125" customWidth="1"/>
    <col min="43" max="43" width="14.28515625" customWidth="1"/>
    <col min="44" max="44" width="15.140625" customWidth="1"/>
    <col min="45" max="45" width="13.140625" customWidth="1"/>
    <col min="46" max="46" width="13.85546875" customWidth="1"/>
    <col min="47" max="47" width="9" customWidth="1"/>
    <col min="48" max="48" width="19.5703125" customWidth="1"/>
  </cols>
  <sheetData>
    <row r="1" spans="1:53" s="1" customFormat="1" ht="39.75" customHeight="1" x14ac:dyDescent="0.25">
      <c r="A1" s="155" t="s">
        <v>242</v>
      </c>
      <c r="B1" s="155"/>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c r="AJ1" s="155"/>
      <c r="AK1" s="155"/>
      <c r="AL1" s="155"/>
      <c r="AM1" s="155"/>
      <c r="AN1" s="155"/>
      <c r="AO1" s="155"/>
      <c r="AP1" s="155"/>
      <c r="AQ1" s="155"/>
      <c r="AR1" s="155"/>
      <c r="AS1" s="155"/>
      <c r="AT1" s="155"/>
      <c r="AU1" s="8"/>
      <c r="AV1" s="8"/>
      <c r="AW1" s="8"/>
      <c r="AX1" s="8"/>
      <c r="AY1" s="8"/>
      <c r="AZ1" s="9"/>
      <c r="BA1" s="10"/>
    </row>
    <row r="2" spans="1:53" s="1" customFormat="1" ht="24" customHeight="1" x14ac:dyDescent="0.25">
      <c r="A2" s="149"/>
      <c r="B2" s="149"/>
      <c r="C2" s="149"/>
      <c r="D2" s="149"/>
      <c r="E2" s="147" t="s">
        <v>16</v>
      </c>
      <c r="F2" s="148"/>
      <c r="G2" s="148"/>
      <c r="H2" s="148"/>
      <c r="I2" s="148"/>
      <c r="J2" s="148"/>
      <c r="K2" s="148"/>
      <c r="L2" s="148"/>
      <c r="M2" s="148"/>
      <c r="N2" s="148"/>
      <c r="O2" s="148"/>
      <c r="P2" s="148"/>
      <c r="Q2" s="148"/>
      <c r="R2" s="148"/>
      <c r="S2" s="148"/>
      <c r="T2" s="148"/>
      <c r="U2" s="148"/>
      <c r="V2" s="148"/>
      <c r="W2" s="11"/>
      <c r="X2" s="11"/>
      <c r="Y2" s="11"/>
      <c r="Z2" s="11"/>
      <c r="AA2" s="11"/>
      <c r="AB2" s="11"/>
      <c r="AC2" s="150" t="s">
        <v>19</v>
      </c>
      <c r="AD2" s="151"/>
      <c r="AE2" s="151"/>
      <c r="AF2" s="151"/>
      <c r="AG2" s="151"/>
      <c r="AH2" s="151"/>
      <c r="AI2" s="151"/>
      <c r="AJ2" s="151"/>
      <c r="AK2" s="151"/>
      <c r="AL2" s="151"/>
      <c r="AM2" s="151"/>
      <c r="AN2" s="151"/>
      <c r="AO2" s="151"/>
      <c r="AP2" s="151"/>
      <c r="AQ2" s="151"/>
      <c r="AR2" s="151"/>
      <c r="AS2" s="151"/>
      <c r="AT2" s="151"/>
      <c r="AU2" s="12"/>
      <c r="AV2" s="12"/>
      <c r="AW2" s="12"/>
      <c r="AX2" s="12"/>
      <c r="AY2" s="12"/>
      <c r="AZ2" s="13"/>
    </row>
    <row r="3" spans="1:53" s="1" customFormat="1" ht="57.75" customHeight="1" thickBot="1" x14ac:dyDescent="0.3">
      <c r="A3" s="3" t="s">
        <v>28</v>
      </c>
      <c r="B3" s="3" t="s">
        <v>2</v>
      </c>
      <c r="C3" s="2" t="s">
        <v>15</v>
      </c>
      <c r="D3" s="3" t="s">
        <v>109</v>
      </c>
      <c r="E3" s="4" t="s">
        <v>17</v>
      </c>
      <c r="F3" s="3" t="s">
        <v>108</v>
      </c>
      <c r="G3" s="3" t="s">
        <v>18</v>
      </c>
      <c r="H3" s="3" t="s">
        <v>433</v>
      </c>
      <c r="I3" s="3" t="s">
        <v>24</v>
      </c>
      <c r="J3" s="3" t="s">
        <v>42</v>
      </c>
      <c r="K3" s="3" t="s">
        <v>14</v>
      </c>
      <c r="L3" s="3" t="s">
        <v>7</v>
      </c>
      <c r="M3" s="3" t="s">
        <v>110</v>
      </c>
      <c r="N3" s="3" t="s">
        <v>11</v>
      </c>
      <c r="O3" s="3" t="s">
        <v>12</v>
      </c>
      <c r="P3" s="3" t="s">
        <v>111</v>
      </c>
      <c r="Q3" s="127" t="s">
        <v>454</v>
      </c>
      <c r="R3" s="127" t="s">
        <v>455</v>
      </c>
      <c r="S3" s="127" t="s">
        <v>456</v>
      </c>
      <c r="T3" s="127" t="s">
        <v>457</v>
      </c>
      <c r="U3" s="127" t="s">
        <v>458</v>
      </c>
      <c r="V3" s="127" t="s">
        <v>459</v>
      </c>
      <c r="W3" s="3" t="s">
        <v>20</v>
      </c>
      <c r="X3" s="3" t="s">
        <v>21</v>
      </c>
      <c r="Y3" s="3" t="s">
        <v>22</v>
      </c>
      <c r="Z3" s="3" t="s">
        <v>27</v>
      </c>
      <c r="AA3" s="3" t="s">
        <v>23</v>
      </c>
      <c r="AB3" s="3" t="s">
        <v>435</v>
      </c>
      <c r="AC3" s="4" t="s">
        <v>17</v>
      </c>
      <c r="AD3" s="3" t="s">
        <v>108</v>
      </c>
      <c r="AE3" s="3" t="s">
        <v>18</v>
      </c>
      <c r="AF3" s="3" t="s">
        <v>433</v>
      </c>
      <c r="AG3" s="3" t="s">
        <v>24</v>
      </c>
      <c r="AH3" s="3" t="s">
        <v>42</v>
      </c>
      <c r="AI3" s="3" t="s">
        <v>14</v>
      </c>
      <c r="AJ3" s="3" t="s">
        <v>7</v>
      </c>
      <c r="AK3" s="3" t="s">
        <v>110</v>
      </c>
      <c r="AL3" s="3" t="s">
        <v>11</v>
      </c>
      <c r="AM3" s="3" t="s">
        <v>12</v>
      </c>
      <c r="AN3" s="3" t="s">
        <v>111</v>
      </c>
      <c r="AO3" s="127" t="s">
        <v>454</v>
      </c>
      <c r="AP3" s="127" t="s">
        <v>455</v>
      </c>
      <c r="AQ3" s="127" t="s">
        <v>456</v>
      </c>
      <c r="AR3" s="127" t="s">
        <v>457</v>
      </c>
      <c r="AS3" s="127" t="s">
        <v>458</v>
      </c>
      <c r="AT3" s="127" t="s">
        <v>459</v>
      </c>
      <c r="AU3" s="3" t="s">
        <v>20</v>
      </c>
      <c r="AV3" s="3" t="s">
        <v>21</v>
      </c>
      <c r="AW3" s="3" t="s">
        <v>22</v>
      </c>
      <c r="AX3" s="3" t="s">
        <v>27</v>
      </c>
      <c r="AY3" s="3" t="s">
        <v>23</v>
      </c>
      <c r="AZ3" s="120" t="s">
        <v>435</v>
      </c>
      <c r="BA3" s="5"/>
    </row>
    <row r="4" spans="1:53" x14ac:dyDescent="0.25">
      <c r="A4" s="24">
        <v>1</v>
      </c>
      <c r="B4" s="24" t="s">
        <v>243</v>
      </c>
      <c r="C4" s="24" t="s">
        <v>4</v>
      </c>
      <c r="D4" s="25">
        <v>43149</v>
      </c>
      <c r="E4" s="24" t="s">
        <v>6</v>
      </c>
      <c r="F4" s="25">
        <v>41323</v>
      </c>
      <c r="G4" s="22"/>
      <c r="H4" s="26"/>
      <c r="I4" s="24" t="s">
        <v>244</v>
      </c>
      <c r="J4" s="26"/>
      <c r="K4" s="24">
        <v>100000</v>
      </c>
      <c r="L4" s="24" t="s">
        <v>228</v>
      </c>
      <c r="M4" s="26"/>
      <c r="N4" s="26"/>
      <c r="O4" s="26"/>
      <c r="P4" s="22"/>
      <c r="Q4" s="26"/>
      <c r="R4" s="26"/>
      <c r="S4" s="26"/>
      <c r="T4" s="26"/>
      <c r="U4" s="26"/>
      <c r="V4" s="26"/>
      <c r="W4" s="24" t="s">
        <v>245</v>
      </c>
      <c r="X4" s="24" t="s">
        <v>45</v>
      </c>
      <c r="Y4" s="24" t="s">
        <v>40</v>
      </c>
      <c r="Z4" s="22" t="s">
        <v>44</v>
      </c>
      <c r="AA4" s="22" t="s">
        <v>35</v>
      </c>
      <c r="AB4" s="26"/>
      <c r="AC4" s="24" t="s">
        <v>32</v>
      </c>
      <c r="AD4" s="25">
        <v>41323</v>
      </c>
      <c r="AE4" s="24">
        <v>1</v>
      </c>
      <c r="AF4" s="26"/>
      <c r="AG4" s="26"/>
      <c r="AH4" s="26"/>
      <c r="AI4" s="24">
        <v>100000</v>
      </c>
      <c r="AJ4" s="24" t="s">
        <v>228</v>
      </c>
      <c r="AK4" s="26"/>
      <c r="AL4" s="26"/>
      <c r="AM4" s="26"/>
      <c r="AN4" s="22"/>
      <c r="AO4" s="26"/>
      <c r="AP4" s="26"/>
      <c r="AQ4" s="26"/>
      <c r="AR4" s="26"/>
      <c r="AS4" s="26"/>
      <c r="AT4" s="26"/>
      <c r="AU4" s="58" t="s">
        <v>245</v>
      </c>
      <c r="AV4" s="24" t="s">
        <v>45</v>
      </c>
      <c r="AW4" s="24" t="s">
        <v>40</v>
      </c>
      <c r="AX4" s="22" t="s">
        <v>44</v>
      </c>
      <c r="AY4" s="22" t="s">
        <v>35</v>
      </c>
      <c r="AZ4" s="26"/>
    </row>
    <row r="5" spans="1:53" x14ac:dyDescent="0.25">
      <c r="A5" s="24">
        <v>2</v>
      </c>
      <c r="B5" s="24" t="s">
        <v>243</v>
      </c>
      <c r="C5" s="24" t="s">
        <v>4</v>
      </c>
      <c r="D5" s="25">
        <v>43149</v>
      </c>
      <c r="E5" s="24" t="s">
        <v>6</v>
      </c>
      <c r="F5" s="25">
        <v>41323</v>
      </c>
      <c r="G5" s="22"/>
      <c r="H5" s="26"/>
      <c r="I5" s="24" t="s">
        <v>246</v>
      </c>
      <c r="J5" s="26"/>
      <c r="K5" s="24">
        <v>100000</v>
      </c>
      <c r="L5" s="24" t="s">
        <v>228</v>
      </c>
      <c r="M5" s="26"/>
      <c r="N5" s="26"/>
      <c r="O5" s="26"/>
      <c r="P5" s="22"/>
      <c r="Q5" s="26"/>
      <c r="R5" s="26"/>
      <c r="S5" s="26"/>
      <c r="T5" s="26"/>
      <c r="U5" s="26"/>
      <c r="V5" s="26"/>
      <c r="W5" s="24" t="s">
        <v>245</v>
      </c>
      <c r="X5" s="24" t="s">
        <v>45</v>
      </c>
      <c r="Y5" s="24" t="s">
        <v>40</v>
      </c>
      <c r="Z5" s="22" t="s">
        <v>44</v>
      </c>
      <c r="AA5" s="22" t="s">
        <v>35</v>
      </c>
      <c r="AB5" s="26"/>
      <c r="AC5" s="24" t="s">
        <v>32</v>
      </c>
      <c r="AD5" s="25">
        <v>41323</v>
      </c>
      <c r="AE5" s="24">
        <v>2</v>
      </c>
      <c r="AF5" s="26"/>
      <c r="AG5" s="26"/>
      <c r="AH5" s="26"/>
      <c r="AI5" s="24">
        <v>100000</v>
      </c>
      <c r="AJ5" s="24" t="s">
        <v>228</v>
      </c>
      <c r="AK5" s="26"/>
      <c r="AL5" s="26"/>
      <c r="AM5" s="26"/>
      <c r="AN5" s="22"/>
      <c r="AO5" s="26"/>
      <c r="AP5" s="26"/>
      <c r="AQ5" s="26"/>
      <c r="AR5" s="26"/>
      <c r="AS5" s="26"/>
      <c r="AT5" s="26"/>
      <c r="AU5" s="58" t="s">
        <v>245</v>
      </c>
      <c r="AV5" s="24" t="s">
        <v>45</v>
      </c>
      <c r="AW5" s="24" t="s">
        <v>40</v>
      </c>
      <c r="AX5" s="22" t="s">
        <v>44</v>
      </c>
      <c r="AY5" s="22" t="s">
        <v>35</v>
      </c>
      <c r="AZ5" s="26"/>
    </row>
    <row r="6" spans="1:53" x14ac:dyDescent="0.25">
      <c r="A6" s="24">
        <v>3</v>
      </c>
      <c r="B6" s="24" t="s">
        <v>243</v>
      </c>
      <c r="C6" s="24" t="s">
        <v>5</v>
      </c>
      <c r="D6" s="25">
        <v>43149</v>
      </c>
      <c r="E6" s="24" t="s">
        <v>6</v>
      </c>
      <c r="F6" s="25">
        <v>41323</v>
      </c>
      <c r="G6" s="22"/>
      <c r="H6" s="26"/>
      <c r="I6" s="24" t="s">
        <v>247</v>
      </c>
      <c r="J6" s="26"/>
      <c r="K6" s="24">
        <v>100000</v>
      </c>
      <c r="L6" s="24" t="s">
        <v>228</v>
      </c>
      <c r="M6" s="26"/>
      <c r="N6" s="26"/>
      <c r="O6" s="26"/>
      <c r="P6" s="22"/>
      <c r="Q6" s="26"/>
      <c r="R6" s="26"/>
      <c r="S6" s="26"/>
      <c r="T6" s="26"/>
      <c r="U6" s="26"/>
      <c r="V6" s="26"/>
      <c r="W6" s="24" t="s">
        <v>245</v>
      </c>
      <c r="X6" s="24" t="s">
        <v>45</v>
      </c>
      <c r="Y6" s="24" t="s">
        <v>41</v>
      </c>
      <c r="Z6" s="22" t="s">
        <v>44</v>
      </c>
      <c r="AA6" s="22" t="s">
        <v>35</v>
      </c>
      <c r="AB6" s="26"/>
      <c r="AC6" s="24" t="s">
        <v>32</v>
      </c>
      <c r="AD6" s="25">
        <v>41323</v>
      </c>
      <c r="AE6" s="24">
        <v>3</v>
      </c>
      <c r="AF6" s="26"/>
      <c r="AG6" s="26"/>
      <c r="AH6" s="26"/>
      <c r="AI6" s="24">
        <v>100000</v>
      </c>
      <c r="AJ6" s="24" t="s">
        <v>228</v>
      </c>
      <c r="AK6" s="26"/>
      <c r="AL6" s="26"/>
      <c r="AM6" s="26"/>
      <c r="AN6" s="22"/>
      <c r="AO6" s="26"/>
      <c r="AP6" s="26"/>
      <c r="AQ6" s="26"/>
      <c r="AR6" s="26"/>
      <c r="AS6" s="26"/>
      <c r="AT6" s="26"/>
      <c r="AU6" s="58" t="s">
        <v>245</v>
      </c>
      <c r="AV6" s="24" t="s">
        <v>45</v>
      </c>
      <c r="AW6" s="24" t="s">
        <v>41</v>
      </c>
      <c r="AX6" s="22" t="s">
        <v>44</v>
      </c>
      <c r="AY6" s="22" t="s">
        <v>35</v>
      </c>
      <c r="AZ6" s="26"/>
    </row>
    <row r="9" spans="1:53" x14ac:dyDescent="0.25">
      <c r="A9" s="24" t="s">
        <v>73</v>
      </c>
    </row>
    <row r="10" spans="1:53" x14ac:dyDescent="0.25">
      <c r="A10" s="22" t="s">
        <v>72</v>
      </c>
    </row>
    <row r="11" spans="1:53" ht="45" x14ac:dyDescent="0.25">
      <c r="A11" s="57" t="s">
        <v>241</v>
      </c>
    </row>
    <row r="17" spans="12:12" x14ac:dyDescent="0.25">
      <c r="L17" s="16"/>
    </row>
    <row r="18" spans="12:12" x14ac:dyDescent="0.25">
      <c r="L18" s="16"/>
    </row>
    <row r="19" spans="12:12" x14ac:dyDescent="0.25">
      <c r="L19" s="17"/>
    </row>
    <row r="20" spans="12:12" x14ac:dyDescent="0.25">
      <c r="L20" s="18"/>
    </row>
    <row r="21" spans="12:12" x14ac:dyDescent="0.25">
      <c r="L21" s="18"/>
    </row>
    <row r="22" spans="12:12" x14ac:dyDescent="0.25">
      <c r="L22" s="17"/>
    </row>
    <row r="23" spans="12:12" x14ac:dyDescent="0.25">
      <c r="L23" s="18"/>
    </row>
    <row r="24" spans="12:12" x14ac:dyDescent="0.25">
      <c r="L24" s="18"/>
    </row>
    <row r="25" spans="12:12" x14ac:dyDescent="0.25">
      <c r="L25" s="19"/>
    </row>
    <row r="26" spans="12:12" x14ac:dyDescent="0.25">
      <c r="L26" s="19"/>
    </row>
    <row r="27" spans="12:12" x14ac:dyDescent="0.25">
      <c r="L27" s="17"/>
    </row>
    <row r="28" spans="12:12" x14ac:dyDescent="0.25">
      <c r="L28" s="20"/>
    </row>
    <row r="29" spans="12:12" x14ac:dyDescent="0.25">
      <c r="L29" s="17"/>
    </row>
    <row r="32" spans="12:12" x14ac:dyDescent="0.25">
      <c r="L32" s="21"/>
    </row>
    <row r="33" spans="12:12" x14ac:dyDescent="0.25">
      <c r="L33" s="21"/>
    </row>
    <row r="34" spans="12:12" x14ac:dyDescent="0.25">
      <c r="L34" s="21"/>
    </row>
  </sheetData>
  <mergeCells count="4">
    <mergeCell ref="A1:AT1"/>
    <mergeCell ref="A2:D2"/>
    <mergeCell ref="E2:V2"/>
    <mergeCell ref="AC2:AT2"/>
  </mergeCells>
  <dataValidations count="2">
    <dataValidation type="list" allowBlank="1" showInputMessage="1" showErrorMessage="1" sqref="Y1:Y2 AW1:AW2 AU1:AU2" xr:uid="{00000000-0002-0000-0B00-000000000000}">
      <formula1>#REF!</formula1>
    </dataValidation>
    <dataValidation showDropDown="1" showInputMessage="1" showErrorMessage="1" sqref="H4 AF4" xr:uid="{27D567DC-04D9-4057-B4C3-F589D8471005}"/>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99FD5-BBEA-438F-8BEC-5B0BC262A657}">
  <sheetPr codeName="Sheet16">
    <tabColor rgb="FF00B050"/>
  </sheetPr>
  <dimension ref="A1:AZ24"/>
  <sheetViews>
    <sheetView zoomScaleNormal="100" workbookViewId="0">
      <selection sqref="A1:AZ1"/>
    </sheetView>
  </sheetViews>
  <sheetFormatPr defaultColWidth="9" defaultRowHeight="15" x14ac:dyDescent="0.25"/>
  <cols>
    <col min="1" max="1" width="15.5703125" customWidth="1"/>
    <col min="2" max="2" width="9.140625" customWidth="1"/>
    <col min="3" max="3" width="9" customWidth="1"/>
    <col min="4" max="4" width="11.85546875" customWidth="1"/>
    <col min="5" max="5" width="9" customWidth="1"/>
    <col min="6" max="6" width="16.140625" customWidth="1"/>
    <col min="7" max="7" width="12.7109375" customWidth="1"/>
    <col min="8" max="8" width="14.140625" customWidth="1"/>
    <col min="9" max="9" width="9" customWidth="1"/>
    <col min="10" max="10" width="15.7109375" customWidth="1"/>
    <col min="11" max="11" width="13.42578125" customWidth="1"/>
    <col min="12" max="16" width="9" customWidth="1"/>
    <col min="17" max="17" width="15.85546875" customWidth="1"/>
    <col min="18" max="18" width="15.7109375" customWidth="1"/>
    <col min="19" max="19" width="14.28515625" customWidth="1"/>
    <col min="20" max="20" width="15.140625" customWidth="1"/>
    <col min="21" max="21" width="13.140625" customWidth="1"/>
    <col min="22" max="22" width="13.85546875" customWidth="1"/>
    <col min="23" max="23" width="13.5703125" customWidth="1"/>
    <col min="24" max="24" width="13.140625" customWidth="1"/>
    <col min="25" max="25" width="9" customWidth="1"/>
    <col min="26" max="27" width="12.5703125" customWidth="1"/>
    <col min="28" max="28" width="16.140625" customWidth="1"/>
    <col min="29" max="29" width="9" customWidth="1"/>
    <col min="30" max="30" width="16" customWidth="1"/>
    <col min="31" max="31" width="14.28515625" customWidth="1"/>
    <col min="32" max="40" width="9" customWidth="1"/>
    <col min="41" max="41" width="15.7109375" customWidth="1"/>
    <col min="42" max="42" width="16" customWidth="1"/>
    <col min="43" max="43" width="14.28515625" customWidth="1"/>
    <col min="44" max="44" width="15.140625" customWidth="1"/>
    <col min="45" max="45" width="13.140625" customWidth="1"/>
    <col min="46" max="46" width="13.85546875" customWidth="1"/>
    <col min="47" max="47" width="15.28515625" customWidth="1"/>
    <col min="48" max="48" width="19.5703125" customWidth="1"/>
    <col min="52" max="52" width="16.7109375" customWidth="1"/>
  </cols>
  <sheetData>
    <row r="1" spans="1:52" ht="39.75" customHeight="1" x14ac:dyDescent="0.25">
      <c r="A1" s="156" t="s">
        <v>443</v>
      </c>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c r="AE1" s="157"/>
      <c r="AF1" s="157"/>
      <c r="AG1" s="157"/>
      <c r="AH1" s="157"/>
      <c r="AI1" s="157"/>
      <c r="AJ1" s="157"/>
      <c r="AK1" s="157"/>
      <c r="AL1" s="157"/>
      <c r="AM1" s="157"/>
      <c r="AN1" s="157"/>
      <c r="AO1" s="157"/>
      <c r="AP1" s="157"/>
      <c r="AQ1" s="157"/>
      <c r="AR1" s="157"/>
      <c r="AS1" s="157"/>
      <c r="AT1" s="157"/>
      <c r="AU1" s="157"/>
      <c r="AV1" s="157"/>
      <c r="AW1" s="157"/>
      <c r="AX1" s="157"/>
      <c r="AY1" s="157"/>
      <c r="AZ1" s="158"/>
    </row>
    <row r="2" spans="1:52" s="1" customFormat="1" ht="24" customHeight="1" x14ac:dyDescent="0.25">
      <c r="A2" s="149"/>
      <c r="B2" s="149"/>
      <c r="C2" s="149"/>
      <c r="D2" s="149"/>
      <c r="E2" s="147" t="s">
        <v>16</v>
      </c>
      <c r="F2" s="148"/>
      <c r="G2" s="148"/>
      <c r="H2" s="148"/>
      <c r="I2" s="148"/>
      <c r="J2" s="148"/>
      <c r="K2" s="148"/>
      <c r="L2" s="148"/>
      <c r="M2" s="148"/>
      <c r="N2" s="148"/>
      <c r="O2" s="148"/>
      <c r="P2" s="148"/>
      <c r="Q2" s="148"/>
      <c r="R2" s="148"/>
      <c r="S2" s="148"/>
      <c r="T2" s="148"/>
      <c r="U2" s="148"/>
      <c r="V2" s="148"/>
      <c r="W2" s="11"/>
      <c r="X2" s="11"/>
      <c r="Y2" s="11"/>
      <c r="Z2" s="11"/>
      <c r="AA2" s="11"/>
      <c r="AB2" s="11"/>
      <c r="AC2" s="150" t="s">
        <v>19</v>
      </c>
      <c r="AD2" s="151"/>
      <c r="AE2" s="151"/>
      <c r="AF2" s="151"/>
      <c r="AG2" s="151"/>
      <c r="AH2" s="151"/>
      <c r="AI2" s="151"/>
      <c r="AJ2" s="151"/>
      <c r="AK2" s="151"/>
      <c r="AL2" s="151"/>
      <c r="AM2" s="151"/>
      <c r="AN2" s="151"/>
      <c r="AO2" s="151"/>
      <c r="AP2" s="151"/>
      <c r="AQ2" s="151"/>
      <c r="AR2" s="151"/>
      <c r="AS2" s="151"/>
      <c r="AT2" s="151"/>
      <c r="AU2" s="12"/>
      <c r="AV2" s="12"/>
      <c r="AW2" s="12"/>
      <c r="AX2" s="12"/>
      <c r="AY2" s="12"/>
      <c r="AZ2" s="113"/>
    </row>
    <row r="3" spans="1:52" s="1" customFormat="1" ht="57.75" customHeight="1" thickBot="1" x14ac:dyDescent="0.3">
      <c r="A3" s="3" t="s">
        <v>28</v>
      </c>
      <c r="B3" s="114" t="s">
        <v>2</v>
      </c>
      <c r="C3" s="2" t="s">
        <v>15</v>
      </c>
      <c r="D3" s="3" t="s">
        <v>109</v>
      </c>
      <c r="E3" s="4" t="s">
        <v>17</v>
      </c>
      <c r="F3" s="3" t="s">
        <v>108</v>
      </c>
      <c r="G3" s="114" t="s">
        <v>18</v>
      </c>
      <c r="H3" s="114" t="s">
        <v>433</v>
      </c>
      <c r="I3" s="3" t="s">
        <v>24</v>
      </c>
      <c r="J3" s="3" t="s">
        <v>42</v>
      </c>
      <c r="K3" s="3" t="s">
        <v>14</v>
      </c>
      <c r="L3" s="114" t="s">
        <v>7</v>
      </c>
      <c r="M3" s="3" t="s">
        <v>110</v>
      </c>
      <c r="N3" s="3" t="s">
        <v>11</v>
      </c>
      <c r="O3" s="3" t="s">
        <v>12</v>
      </c>
      <c r="P3" s="114" t="s">
        <v>111</v>
      </c>
      <c r="Q3" s="127" t="s">
        <v>454</v>
      </c>
      <c r="R3" s="127" t="s">
        <v>455</v>
      </c>
      <c r="S3" s="127" t="s">
        <v>456</v>
      </c>
      <c r="T3" s="127" t="s">
        <v>457</v>
      </c>
      <c r="U3" s="127" t="s">
        <v>458</v>
      </c>
      <c r="V3" s="127" t="s">
        <v>459</v>
      </c>
      <c r="W3" s="114" t="s">
        <v>20</v>
      </c>
      <c r="X3" s="3" t="s">
        <v>21</v>
      </c>
      <c r="Y3" s="3" t="s">
        <v>22</v>
      </c>
      <c r="Z3" s="3" t="s">
        <v>27</v>
      </c>
      <c r="AA3" s="3" t="s">
        <v>23</v>
      </c>
      <c r="AB3" s="114" t="s">
        <v>435</v>
      </c>
      <c r="AC3" s="4" t="s">
        <v>17</v>
      </c>
      <c r="AD3" s="3" t="s">
        <v>108</v>
      </c>
      <c r="AE3" s="3" t="s">
        <v>18</v>
      </c>
      <c r="AF3" s="114" t="s">
        <v>433</v>
      </c>
      <c r="AG3" s="3" t="s">
        <v>24</v>
      </c>
      <c r="AH3" s="3" t="s">
        <v>42</v>
      </c>
      <c r="AI3" s="3" t="s">
        <v>14</v>
      </c>
      <c r="AJ3" s="114" t="s">
        <v>7</v>
      </c>
      <c r="AK3" s="3" t="s">
        <v>110</v>
      </c>
      <c r="AL3" s="3" t="s">
        <v>11</v>
      </c>
      <c r="AM3" s="3" t="s">
        <v>12</v>
      </c>
      <c r="AN3" s="3" t="s">
        <v>111</v>
      </c>
      <c r="AO3" s="127" t="s">
        <v>454</v>
      </c>
      <c r="AP3" s="127" t="s">
        <v>455</v>
      </c>
      <c r="AQ3" s="127" t="s">
        <v>456</v>
      </c>
      <c r="AR3" s="127" t="s">
        <v>457</v>
      </c>
      <c r="AS3" s="127" t="s">
        <v>458</v>
      </c>
      <c r="AT3" s="127" t="s">
        <v>459</v>
      </c>
      <c r="AU3" s="114" t="s">
        <v>20</v>
      </c>
      <c r="AV3" s="3" t="s">
        <v>21</v>
      </c>
      <c r="AW3" s="3" t="s">
        <v>22</v>
      </c>
      <c r="AX3" s="3" t="s">
        <v>27</v>
      </c>
      <c r="AY3" s="3" t="s">
        <v>23</v>
      </c>
      <c r="AZ3" s="119" t="s">
        <v>435</v>
      </c>
    </row>
    <row r="4" spans="1:52" x14ac:dyDescent="0.25">
      <c r="A4" s="24">
        <v>1</v>
      </c>
      <c r="B4" s="24" t="s">
        <v>436</v>
      </c>
      <c r="C4" s="24" t="s">
        <v>4</v>
      </c>
      <c r="D4" s="25">
        <v>46071</v>
      </c>
      <c r="E4" s="24" t="s">
        <v>6</v>
      </c>
      <c r="F4" s="25">
        <v>45337</v>
      </c>
      <c r="G4" s="26"/>
      <c r="H4" s="115" t="s">
        <v>437</v>
      </c>
      <c r="I4" s="24" t="s">
        <v>244</v>
      </c>
      <c r="J4" s="26"/>
      <c r="K4" s="24">
        <v>100000</v>
      </c>
      <c r="L4" s="24" t="s">
        <v>194</v>
      </c>
      <c r="M4" s="26"/>
      <c r="N4" s="26"/>
      <c r="O4" s="26"/>
      <c r="P4" s="24">
        <v>127</v>
      </c>
      <c r="Q4" s="22"/>
      <c r="R4" s="22"/>
      <c r="S4" s="26"/>
      <c r="T4" s="26"/>
      <c r="U4" s="26"/>
      <c r="V4" s="26"/>
      <c r="W4" s="24" t="s">
        <v>438</v>
      </c>
      <c r="X4" s="24" t="s">
        <v>45</v>
      </c>
      <c r="Y4" s="24" t="s">
        <v>40</v>
      </c>
      <c r="Z4" s="22" t="s">
        <v>44</v>
      </c>
      <c r="AA4" s="22" t="s">
        <v>35</v>
      </c>
      <c r="AB4" s="24" t="s">
        <v>51</v>
      </c>
      <c r="AC4" s="24" t="s">
        <v>32</v>
      </c>
      <c r="AD4" s="25">
        <v>41685</v>
      </c>
      <c r="AE4" s="24">
        <v>1</v>
      </c>
      <c r="AF4" s="26"/>
      <c r="AG4" s="26"/>
      <c r="AH4" s="26"/>
      <c r="AI4" s="24">
        <v>100000</v>
      </c>
      <c r="AJ4" s="24" t="s">
        <v>194</v>
      </c>
      <c r="AK4" s="26"/>
      <c r="AL4" s="26"/>
      <c r="AM4" s="26"/>
      <c r="AN4" s="26"/>
      <c r="AO4" s="22"/>
      <c r="AP4" s="22"/>
      <c r="AQ4" s="26"/>
      <c r="AR4" s="26"/>
      <c r="AS4" s="26"/>
      <c r="AT4" s="26"/>
      <c r="AU4" s="24" t="s">
        <v>438</v>
      </c>
      <c r="AV4" s="24" t="s">
        <v>45</v>
      </c>
      <c r="AW4" s="24" t="s">
        <v>40</v>
      </c>
      <c r="AX4" s="22" t="s">
        <v>44</v>
      </c>
      <c r="AY4" s="22" t="s">
        <v>35</v>
      </c>
      <c r="AZ4" s="116" t="s">
        <v>51</v>
      </c>
    </row>
    <row r="5" spans="1:52" x14ac:dyDescent="0.25">
      <c r="A5" s="24">
        <v>2</v>
      </c>
      <c r="B5" s="24" t="s">
        <v>436</v>
      </c>
      <c r="C5" s="24" t="s">
        <v>4</v>
      </c>
      <c r="D5" s="25">
        <v>46071</v>
      </c>
      <c r="E5" s="24" t="s">
        <v>6</v>
      </c>
      <c r="F5" s="25">
        <v>45337</v>
      </c>
      <c r="G5" s="26"/>
      <c r="H5" s="115" t="s">
        <v>437</v>
      </c>
      <c r="I5" s="24" t="s">
        <v>246</v>
      </c>
      <c r="J5" s="26"/>
      <c r="K5" s="24">
        <v>100000</v>
      </c>
      <c r="L5" s="24" t="s">
        <v>194</v>
      </c>
      <c r="M5" s="26"/>
      <c r="N5" s="26"/>
      <c r="O5" s="26"/>
      <c r="P5" s="24">
        <v>127</v>
      </c>
      <c r="Q5" s="22"/>
      <c r="R5" s="22"/>
      <c r="S5" s="26"/>
      <c r="T5" s="26"/>
      <c r="U5" s="26"/>
      <c r="V5" s="26"/>
      <c r="W5" s="24" t="s">
        <v>438</v>
      </c>
      <c r="X5" s="24" t="s">
        <v>45</v>
      </c>
      <c r="Y5" s="24" t="s">
        <v>40</v>
      </c>
      <c r="Z5" s="22" t="s">
        <v>44</v>
      </c>
      <c r="AA5" s="22" t="s">
        <v>35</v>
      </c>
      <c r="AB5" s="24" t="s">
        <v>51</v>
      </c>
      <c r="AC5" s="24" t="s">
        <v>32</v>
      </c>
      <c r="AD5" s="25">
        <v>41685</v>
      </c>
      <c r="AE5" s="24">
        <v>1</v>
      </c>
      <c r="AF5" s="26"/>
      <c r="AG5" s="26"/>
      <c r="AH5" s="26"/>
      <c r="AI5" s="24">
        <v>100000</v>
      </c>
      <c r="AJ5" s="24" t="s">
        <v>194</v>
      </c>
      <c r="AK5" s="26"/>
      <c r="AL5" s="26"/>
      <c r="AM5" s="26"/>
      <c r="AN5" s="26"/>
      <c r="AO5" s="22"/>
      <c r="AP5" s="22"/>
      <c r="AQ5" s="26"/>
      <c r="AR5" s="26"/>
      <c r="AS5" s="26"/>
      <c r="AT5" s="26"/>
      <c r="AU5" s="24" t="s">
        <v>438</v>
      </c>
      <c r="AV5" s="24" t="s">
        <v>45</v>
      </c>
      <c r="AW5" s="24" t="s">
        <v>40</v>
      </c>
      <c r="AX5" s="22" t="s">
        <v>44</v>
      </c>
      <c r="AY5" s="22" t="s">
        <v>35</v>
      </c>
      <c r="AZ5" s="116" t="s">
        <v>51</v>
      </c>
    </row>
    <row r="6" spans="1:52" x14ac:dyDescent="0.25">
      <c r="A6" s="24">
        <v>3</v>
      </c>
      <c r="B6" s="24" t="s">
        <v>436</v>
      </c>
      <c r="C6" s="24" t="s">
        <v>5</v>
      </c>
      <c r="D6" s="25">
        <v>46071</v>
      </c>
      <c r="E6" s="24" t="s">
        <v>6</v>
      </c>
      <c r="F6" s="25">
        <v>45337</v>
      </c>
      <c r="G6" s="26"/>
      <c r="H6" s="115" t="s">
        <v>437</v>
      </c>
      <c r="I6" s="24" t="s">
        <v>247</v>
      </c>
      <c r="J6" s="26"/>
      <c r="K6" s="24">
        <v>100000</v>
      </c>
      <c r="L6" s="24" t="s">
        <v>194</v>
      </c>
      <c r="M6" s="26"/>
      <c r="N6" s="26"/>
      <c r="O6" s="26"/>
      <c r="P6" s="24">
        <v>127</v>
      </c>
      <c r="Q6" s="22"/>
      <c r="R6" s="22"/>
      <c r="S6" s="26"/>
      <c r="T6" s="26"/>
      <c r="U6" s="26"/>
      <c r="V6" s="26"/>
      <c r="W6" s="24" t="s">
        <v>438</v>
      </c>
      <c r="X6" s="24" t="s">
        <v>45</v>
      </c>
      <c r="Y6" s="24" t="s">
        <v>40</v>
      </c>
      <c r="Z6" s="22" t="s">
        <v>44</v>
      </c>
      <c r="AA6" s="22" t="s">
        <v>35</v>
      </c>
      <c r="AB6" s="24" t="s">
        <v>51</v>
      </c>
      <c r="AC6" s="24" t="s">
        <v>32</v>
      </c>
      <c r="AD6" s="25">
        <v>41685</v>
      </c>
      <c r="AE6" s="24">
        <v>1</v>
      </c>
      <c r="AF6" s="26"/>
      <c r="AG6" s="26"/>
      <c r="AH6" s="26"/>
      <c r="AI6" s="24">
        <v>100000</v>
      </c>
      <c r="AJ6" s="24" t="s">
        <v>194</v>
      </c>
      <c r="AK6" s="26"/>
      <c r="AL6" s="26"/>
      <c r="AM6" s="26"/>
      <c r="AN6" s="26"/>
      <c r="AO6" s="22"/>
      <c r="AP6" s="22"/>
      <c r="AQ6" s="26"/>
      <c r="AR6" s="26"/>
      <c r="AS6" s="26"/>
      <c r="AT6" s="26"/>
      <c r="AU6" s="24" t="s">
        <v>438</v>
      </c>
      <c r="AV6" s="24" t="s">
        <v>45</v>
      </c>
      <c r="AW6" s="24" t="s">
        <v>40</v>
      </c>
      <c r="AX6" s="22" t="s">
        <v>44</v>
      </c>
      <c r="AY6" s="22" t="s">
        <v>35</v>
      </c>
      <c r="AZ6" s="116" t="s">
        <v>51</v>
      </c>
    </row>
    <row r="8" spans="1:52" x14ac:dyDescent="0.25">
      <c r="A8" s="24" t="s">
        <v>73</v>
      </c>
    </row>
    <row r="9" spans="1:52" x14ac:dyDescent="0.25">
      <c r="A9" s="22" t="s">
        <v>72</v>
      </c>
    </row>
    <row r="10" spans="1:52" ht="45" x14ac:dyDescent="0.25">
      <c r="A10" s="57" t="s">
        <v>241</v>
      </c>
    </row>
    <row r="11" spans="1:52" x14ac:dyDescent="0.25">
      <c r="L11" s="19"/>
    </row>
    <row r="12" spans="1:52" x14ac:dyDescent="0.25">
      <c r="L12" s="19"/>
    </row>
    <row r="13" spans="1:52" x14ac:dyDescent="0.25">
      <c r="L13" s="17"/>
    </row>
    <row r="14" spans="1:52" x14ac:dyDescent="0.25">
      <c r="L14" s="20"/>
    </row>
    <row r="15" spans="1:52" x14ac:dyDescent="0.25">
      <c r="L15" s="17"/>
    </row>
    <row r="17" spans="1:12" ht="18.75" x14ac:dyDescent="0.3">
      <c r="A17" s="117"/>
    </row>
    <row r="18" spans="1:12" x14ac:dyDescent="0.25">
      <c r="L18" s="21"/>
    </row>
    <row r="19" spans="1:12" x14ac:dyDescent="0.25">
      <c r="L19" s="21"/>
    </row>
    <row r="21" spans="1:12" ht="18.75" x14ac:dyDescent="0.3">
      <c r="A21" s="117"/>
    </row>
    <row r="24" spans="1:12" x14ac:dyDescent="0.25">
      <c r="D24" s="118"/>
    </row>
  </sheetData>
  <mergeCells count="4">
    <mergeCell ref="A1:AZ1"/>
    <mergeCell ref="A2:D2"/>
    <mergeCell ref="E2:V2"/>
    <mergeCell ref="AC2:AT2"/>
  </mergeCells>
  <dataValidations count="2">
    <dataValidation type="list" allowBlank="1" showInputMessage="1" showErrorMessage="1" sqref="Y2 AW2 AU2" xr:uid="{D3620783-FEE4-41E9-9E03-37ABDEF1AAE4}">
      <formula1>#REF!</formula1>
    </dataValidation>
    <dataValidation showDropDown="1" showInputMessage="1" showErrorMessage="1" sqref="Q4:R4 AO4:AP4" xr:uid="{8F961588-F635-4240-BADC-DD039B514064}"/>
  </dataValidations>
  <pageMargins left="0.7" right="0.7" top="0.75" bottom="0.75" header="0.3" footer="0.3"/>
  <pageSetup paperSize="9" orientation="portrait" verticalDpi="599" r:id="rId1"/>
  <headerFooter>
    <oddFooter>&amp;C_x000D_&amp;1#&amp;"Calibri"&amp;10&amp;K000000 Internal</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00B050"/>
  </sheetPr>
  <dimension ref="A3:AZ10"/>
  <sheetViews>
    <sheetView workbookViewId="0"/>
  </sheetViews>
  <sheetFormatPr defaultColWidth="9" defaultRowHeight="15" x14ac:dyDescent="0.25"/>
  <cols>
    <col min="1" max="1" width="18.7109375" customWidth="1"/>
    <col min="2" max="8" width="9" customWidth="1"/>
    <col min="9" max="9" width="29.28515625" customWidth="1"/>
    <col min="10" max="16" width="9" customWidth="1"/>
    <col min="17" max="18" width="14.7109375" customWidth="1"/>
    <col min="19" max="19" width="13.7109375" customWidth="1"/>
    <col min="20" max="20" width="14.85546875" customWidth="1"/>
    <col min="21" max="21" width="14.42578125" customWidth="1"/>
    <col min="22" max="22" width="16" customWidth="1"/>
    <col min="23" max="23" width="9" customWidth="1"/>
    <col min="24" max="24" width="16.5703125" customWidth="1"/>
    <col min="25" max="25" width="23" customWidth="1"/>
    <col min="26" max="32" width="9" customWidth="1"/>
    <col min="33" max="33" width="29.28515625" customWidth="1"/>
    <col min="34" max="40" width="9" customWidth="1"/>
    <col min="41" max="42" width="14.7109375" customWidth="1"/>
    <col min="43" max="43" width="13.7109375" customWidth="1"/>
    <col min="44" max="44" width="14.85546875" customWidth="1"/>
    <col min="45" max="45" width="14.42578125" customWidth="1"/>
    <col min="46" max="46" width="16" customWidth="1"/>
    <col min="47" max="47" width="9" customWidth="1"/>
    <col min="48" max="48" width="16.5703125" customWidth="1"/>
    <col min="49" max="49" width="23" customWidth="1"/>
  </cols>
  <sheetData>
    <row r="3" spans="1:52" x14ac:dyDescent="0.25">
      <c r="A3" t="s">
        <v>177</v>
      </c>
    </row>
    <row r="5" spans="1:52" ht="21" x14ac:dyDescent="0.25">
      <c r="A5" s="149"/>
      <c r="B5" s="149"/>
      <c r="C5" s="149"/>
      <c r="D5" s="149"/>
      <c r="E5" s="147" t="s">
        <v>16</v>
      </c>
      <c r="F5" s="148"/>
      <c r="G5" s="148"/>
      <c r="H5" s="148"/>
      <c r="I5" s="148"/>
      <c r="J5" s="148"/>
      <c r="K5" s="148"/>
      <c r="L5" s="148"/>
      <c r="M5" s="148"/>
      <c r="N5" s="148"/>
      <c r="O5" s="148"/>
      <c r="P5" s="148"/>
      <c r="Q5" s="148"/>
      <c r="R5" s="148"/>
      <c r="S5" s="148"/>
      <c r="T5" s="148"/>
      <c r="U5" s="148"/>
      <c r="V5" s="148"/>
      <c r="W5" s="11"/>
      <c r="X5" s="11"/>
      <c r="Y5" s="11"/>
      <c r="Z5" s="11"/>
      <c r="AA5" s="11"/>
      <c r="AB5" s="11"/>
      <c r="AC5" s="150" t="s">
        <v>19</v>
      </c>
      <c r="AD5" s="151"/>
      <c r="AE5" s="151"/>
      <c r="AF5" s="151"/>
      <c r="AG5" s="151"/>
      <c r="AH5" s="151"/>
      <c r="AI5" s="151"/>
      <c r="AJ5" s="151"/>
      <c r="AK5" s="151"/>
      <c r="AL5" s="151"/>
      <c r="AM5" s="151"/>
      <c r="AN5" s="151"/>
      <c r="AO5" s="151"/>
      <c r="AP5" s="151"/>
      <c r="AQ5" s="151"/>
      <c r="AR5" s="151"/>
      <c r="AS5" s="151"/>
      <c r="AT5" s="151"/>
      <c r="AU5" s="12"/>
      <c r="AV5" s="12"/>
      <c r="AW5" s="12"/>
      <c r="AX5" s="12"/>
      <c r="AY5" s="12"/>
      <c r="AZ5" s="13"/>
    </row>
    <row r="6" spans="1:52" ht="75" x14ac:dyDescent="0.25">
      <c r="A6" s="5" t="s">
        <v>28</v>
      </c>
      <c r="B6" s="5" t="s">
        <v>2</v>
      </c>
      <c r="C6" s="38" t="s">
        <v>15</v>
      </c>
      <c r="D6" s="5" t="s">
        <v>109</v>
      </c>
      <c r="E6" s="36" t="s">
        <v>17</v>
      </c>
      <c r="F6" s="5" t="s">
        <v>108</v>
      </c>
      <c r="G6" s="5" t="s">
        <v>18</v>
      </c>
      <c r="H6" s="5" t="s">
        <v>433</v>
      </c>
      <c r="I6" s="5" t="s">
        <v>24</v>
      </c>
      <c r="J6" s="5" t="s">
        <v>42</v>
      </c>
      <c r="K6" s="5" t="s">
        <v>14</v>
      </c>
      <c r="L6" s="5" t="s">
        <v>7</v>
      </c>
      <c r="M6" s="5" t="s">
        <v>110</v>
      </c>
      <c r="N6" s="5" t="s">
        <v>11</v>
      </c>
      <c r="O6" s="5" t="s">
        <v>12</v>
      </c>
      <c r="P6" s="5" t="s">
        <v>111</v>
      </c>
      <c r="Q6" s="128" t="s">
        <v>454</v>
      </c>
      <c r="R6" s="128" t="s">
        <v>455</v>
      </c>
      <c r="S6" s="128" t="s">
        <v>456</v>
      </c>
      <c r="T6" s="128" t="s">
        <v>457</v>
      </c>
      <c r="U6" s="128" t="s">
        <v>458</v>
      </c>
      <c r="V6" s="128" t="s">
        <v>459</v>
      </c>
      <c r="W6" s="5" t="s">
        <v>20</v>
      </c>
      <c r="X6" s="5" t="s">
        <v>21</v>
      </c>
      <c r="Y6" s="5" t="s">
        <v>22</v>
      </c>
      <c r="Z6" s="5" t="s">
        <v>27</v>
      </c>
      <c r="AA6" s="5" t="s">
        <v>23</v>
      </c>
      <c r="AB6" s="132" t="s">
        <v>435</v>
      </c>
      <c r="AC6" s="36" t="s">
        <v>17</v>
      </c>
      <c r="AD6" s="5" t="s">
        <v>108</v>
      </c>
      <c r="AE6" s="5" t="s">
        <v>18</v>
      </c>
      <c r="AF6" s="5" t="s">
        <v>433</v>
      </c>
      <c r="AG6" s="5" t="s">
        <v>24</v>
      </c>
      <c r="AH6" s="5" t="s">
        <v>42</v>
      </c>
      <c r="AI6" s="5" t="s">
        <v>14</v>
      </c>
      <c r="AJ6" s="5" t="s">
        <v>7</v>
      </c>
      <c r="AK6" s="5" t="s">
        <v>110</v>
      </c>
      <c r="AL6" s="5" t="s">
        <v>11</v>
      </c>
      <c r="AM6" s="5" t="s">
        <v>12</v>
      </c>
      <c r="AN6" s="5" t="s">
        <v>111</v>
      </c>
      <c r="AO6" s="128" t="s">
        <v>454</v>
      </c>
      <c r="AP6" s="128" t="s">
        <v>455</v>
      </c>
      <c r="AQ6" s="128" t="s">
        <v>456</v>
      </c>
      <c r="AR6" s="128" t="s">
        <v>457</v>
      </c>
      <c r="AS6" s="128" t="s">
        <v>458</v>
      </c>
      <c r="AT6" s="128" t="s">
        <v>459</v>
      </c>
      <c r="AU6" s="5" t="s">
        <v>20</v>
      </c>
      <c r="AV6" s="5" t="s">
        <v>21</v>
      </c>
      <c r="AW6" s="5" t="s">
        <v>22</v>
      </c>
      <c r="AX6" s="5" t="s">
        <v>27</v>
      </c>
      <c r="AY6" s="5" t="s">
        <v>23</v>
      </c>
      <c r="AZ6" s="39" t="s">
        <v>435</v>
      </c>
    </row>
    <row r="7" spans="1:52" ht="367.5" customHeight="1" x14ac:dyDescent="0.25">
      <c r="A7" s="95" t="s">
        <v>178</v>
      </c>
      <c r="B7" s="41"/>
      <c r="C7" s="41"/>
      <c r="D7" s="41"/>
      <c r="E7" s="41"/>
      <c r="F7" s="41"/>
      <c r="G7" s="41"/>
      <c r="H7" s="131"/>
      <c r="I7" s="93" t="s">
        <v>520</v>
      </c>
      <c r="J7" s="41"/>
      <c r="K7" s="41"/>
      <c r="L7" s="41"/>
      <c r="M7" s="41"/>
      <c r="N7" s="41"/>
      <c r="O7" s="41"/>
      <c r="P7" s="41"/>
      <c r="Q7" s="41"/>
      <c r="R7" s="41"/>
      <c r="S7" s="41"/>
      <c r="T7" s="41"/>
      <c r="U7" s="41"/>
      <c r="V7" s="41"/>
      <c r="W7" s="94" t="s">
        <v>254</v>
      </c>
      <c r="X7" s="95" t="s">
        <v>45</v>
      </c>
      <c r="Y7" s="102" t="s">
        <v>421</v>
      </c>
      <c r="Z7" s="95"/>
      <c r="AA7" s="95"/>
      <c r="AB7" s="41"/>
      <c r="AC7" s="41"/>
      <c r="AD7" s="41"/>
      <c r="AE7" s="41"/>
      <c r="AF7" s="131"/>
      <c r="AG7" s="93" t="s">
        <v>520</v>
      </c>
      <c r="AH7" s="41"/>
      <c r="AI7" s="41"/>
      <c r="AJ7" s="41"/>
      <c r="AK7" s="41"/>
      <c r="AL7" s="41"/>
      <c r="AM7" s="41"/>
      <c r="AN7" s="41"/>
      <c r="AO7" s="41"/>
      <c r="AP7" s="41"/>
      <c r="AQ7" s="41"/>
      <c r="AR7" s="41"/>
      <c r="AS7" s="41"/>
      <c r="AT7" s="41"/>
      <c r="AU7" s="94" t="s">
        <v>254</v>
      </c>
      <c r="AV7" s="95" t="s">
        <v>45</v>
      </c>
      <c r="AW7" s="102" t="s">
        <v>421</v>
      </c>
      <c r="AX7" s="40"/>
      <c r="AY7" s="40"/>
      <c r="AZ7" s="41"/>
    </row>
    <row r="9" spans="1:52" x14ac:dyDescent="0.25">
      <c r="A9" s="41" t="s">
        <v>179</v>
      </c>
    </row>
    <row r="10" spans="1:52" x14ac:dyDescent="0.25">
      <c r="I10" s="31"/>
    </row>
  </sheetData>
  <mergeCells count="3">
    <mergeCell ref="A5:D5"/>
    <mergeCell ref="E5:V5"/>
    <mergeCell ref="AC5:AT5"/>
  </mergeCells>
  <dataValidations count="2">
    <dataValidation type="list" allowBlank="1" showInputMessage="1" showErrorMessage="1" sqref="AU5 AW5 Y5" xr:uid="{00000000-0002-0000-0C00-000000000000}">
      <formula1>#REF!</formula1>
    </dataValidation>
    <dataValidation showDropDown="1" showInputMessage="1" showErrorMessage="1" sqref="A7:H7 X7:AF7 J7:V7 AH7:AT7 AV7:AZ7" xr:uid="{00000000-0002-0000-0C00-000002000000}"/>
  </dataValidations>
  <pageMargins left="0.7" right="0.7" top="0.75" bottom="0.75" header="0.3" footer="0.3"/>
  <pageSetup paperSize="9" orientation="portrait" r:id="rId1"/>
  <headerFooter>
    <oddFooter>&amp;C&amp;1#&amp;"Calibri"&amp;10&amp;K000000Internal</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5" tint="0.39997558519241921"/>
    <pageSetUpPr fitToPage="1"/>
  </sheetPr>
  <dimension ref="A1:R51"/>
  <sheetViews>
    <sheetView workbookViewId="0">
      <pane xSplit="1" topLeftCell="B1" activePane="topRight" state="frozen"/>
      <selection pane="topRight" activeCell="D3" sqref="D3"/>
    </sheetView>
  </sheetViews>
  <sheetFormatPr defaultColWidth="9" defaultRowHeight="15" x14ac:dyDescent="0.25"/>
  <cols>
    <col min="1" max="1" width="13.85546875" customWidth="1"/>
    <col min="2" max="8" width="9" customWidth="1"/>
    <col min="9" max="9" width="18" customWidth="1"/>
    <col min="10" max="11" width="24" customWidth="1"/>
    <col min="12" max="15" width="13.140625" customWidth="1"/>
    <col min="16" max="16" width="13.7109375" customWidth="1"/>
    <col min="17" max="18" width="13.140625" customWidth="1"/>
  </cols>
  <sheetData>
    <row r="1" spans="1:18" ht="48" customHeight="1" x14ac:dyDescent="0.25">
      <c r="A1" s="32"/>
      <c r="B1" s="32" t="s">
        <v>281</v>
      </c>
      <c r="C1" s="32"/>
      <c r="D1" s="32"/>
      <c r="E1" s="32"/>
      <c r="F1" s="32"/>
      <c r="G1" s="32"/>
      <c r="H1" s="32"/>
      <c r="I1" s="32"/>
      <c r="J1" s="32"/>
      <c r="K1" s="32"/>
      <c r="L1" s="32"/>
      <c r="M1" s="32"/>
      <c r="N1" s="32"/>
      <c r="O1" s="32"/>
      <c r="P1" s="32"/>
      <c r="Q1" s="32"/>
      <c r="R1" s="32"/>
    </row>
    <row r="2" spans="1:18" ht="72.75" customHeight="1" thickBot="1" x14ac:dyDescent="0.3">
      <c r="A2" s="3"/>
      <c r="B2" s="34" t="s">
        <v>118</v>
      </c>
      <c r="C2" s="34" t="s">
        <v>136</v>
      </c>
      <c r="D2" s="34" t="s">
        <v>137</v>
      </c>
      <c r="E2" s="34" t="s">
        <v>138</v>
      </c>
      <c r="F2" s="34" t="s">
        <v>379</v>
      </c>
      <c r="G2" s="34" t="s">
        <v>270</v>
      </c>
      <c r="H2" s="34" t="s">
        <v>271</v>
      </c>
      <c r="I2" s="34" t="s">
        <v>119</v>
      </c>
      <c r="J2" s="34" t="s">
        <v>120</v>
      </c>
      <c r="K2" s="34" t="s">
        <v>121</v>
      </c>
      <c r="L2" s="34" t="s">
        <v>122</v>
      </c>
      <c r="M2" s="34" t="s">
        <v>123</v>
      </c>
      <c r="N2" s="34" t="s">
        <v>422</v>
      </c>
      <c r="O2" s="34" t="s">
        <v>124</v>
      </c>
      <c r="P2" s="34" t="s">
        <v>162</v>
      </c>
      <c r="Q2" s="34" t="s">
        <v>126</v>
      </c>
      <c r="R2" s="34" t="s">
        <v>127</v>
      </c>
    </row>
    <row r="3" spans="1:18" ht="207.75" customHeight="1" thickBot="1" x14ac:dyDescent="0.3">
      <c r="A3" s="3" t="s">
        <v>46</v>
      </c>
      <c r="B3" s="35" t="s">
        <v>264</v>
      </c>
      <c r="C3" s="35" t="s">
        <v>133</v>
      </c>
      <c r="D3" s="35" t="s">
        <v>139</v>
      </c>
      <c r="E3" s="35" t="s">
        <v>140</v>
      </c>
      <c r="F3" s="35" t="s">
        <v>274</v>
      </c>
      <c r="G3" s="35" t="s">
        <v>272</v>
      </c>
      <c r="H3" s="35" t="s">
        <v>273</v>
      </c>
      <c r="I3" s="35" t="s">
        <v>129</v>
      </c>
      <c r="J3" s="35" t="s">
        <v>253</v>
      </c>
      <c r="K3" s="35" t="s">
        <v>234</v>
      </c>
      <c r="L3" s="35" t="s">
        <v>236</v>
      </c>
      <c r="M3" s="35" t="s">
        <v>235</v>
      </c>
      <c r="N3" s="35" t="s">
        <v>130</v>
      </c>
      <c r="O3" s="35" t="s">
        <v>148</v>
      </c>
      <c r="P3" s="35" t="s">
        <v>149</v>
      </c>
      <c r="Q3" s="35" t="s">
        <v>150</v>
      </c>
      <c r="R3" s="35" t="s">
        <v>151</v>
      </c>
    </row>
    <row r="4" spans="1:18" ht="144.75" customHeight="1" thickBot="1" x14ac:dyDescent="0.3">
      <c r="A4" s="3" t="s">
        <v>47</v>
      </c>
      <c r="B4" s="35" t="s">
        <v>266</v>
      </c>
      <c r="C4" s="35" t="s">
        <v>132</v>
      </c>
      <c r="D4" s="35" t="s">
        <v>134</v>
      </c>
      <c r="E4" s="35" t="s">
        <v>135</v>
      </c>
      <c r="F4" s="35" t="s">
        <v>380</v>
      </c>
      <c r="G4" s="35" t="s">
        <v>132</v>
      </c>
      <c r="H4" s="35" t="s">
        <v>134</v>
      </c>
      <c r="I4" s="35" t="s">
        <v>152</v>
      </c>
      <c r="J4" s="35" t="s">
        <v>153</v>
      </c>
      <c r="K4" s="35" t="s">
        <v>153</v>
      </c>
      <c r="L4" s="35" t="s">
        <v>57</v>
      </c>
      <c r="M4" s="35" t="s">
        <v>58</v>
      </c>
      <c r="N4" s="35" t="s">
        <v>58</v>
      </c>
      <c r="O4" s="35" t="s">
        <v>57</v>
      </c>
      <c r="P4" s="35" t="s">
        <v>57</v>
      </c>
      <c r="Q4" s="35" t="s">
        <v>57</v>
      </c>
      <c r="R4" s="35" t="s">
        <v>57</v>
      </c>
    </row>
    <row r="5" spans="1:18" ht="110.25" customHeight="1" thickBot="1" x14ac:dyDescent="0.3">
      <c r="A5" s="3" t="s">
        <v>48</v>
      </c>
      <c r="B5" s="35" t="s">
        <v>265</v>
      </c>
      <c r="C5" s="35" t="s">
        <v>233</v>
      </c>
      <c r="D5" s="37" t="s">
        <v>170</v>
      </c>
      <c r="E5" s="37" t="s">
        <v>154</v>
      </c>
      <c r="F5" s="35" t="s">
        <v>233</v>
      </c>
      <c r="G5" s="35" t="s">
        <v>233</v>
      </c>
      <c r="H5" s="37" t="s">
        <v>170</v>
      </c>
      <c r="I5" s="35" t="s">
        <v>171</v>
      </c>
      <c r="J5" s="35" t="s">
        <v>145</v>
      </c>
      <c r="K5" s="35" t="s">
        <v>142</v>
      </c>
      <c r="L5" s="35" t="s">
        <v>155</v>
      </c>
      <c r="M5" s="35" t="s">
        <v>143</v>
      </c>
      <c r="N5" s="35" t="s">
        <v>144</v>
      </c>
      <c r="O5" s="35" t="s">
        <v>232</v>
      </c>
      <c r="P5" s="35" t="s">
        <v>232</v>
      </c>
      <c r="Q5" s="35" t="s">
        <v>232</v>
      </c>
      <c r="R5" s="35" t="s">
        <v>232</v>
      </c>
    </row>
    <row r="6" spans="1:18" ht="110.25" customHeight="1" thickBot="1" x14ac:dyDescent="0.3">
      <c r="A6" s="3" t="s">
        <v>231</v>
      </c>
      <c r="B6" s="35" t="s">
        <v>51</v>
      </c>
      <c r="C6" s="159" t="s">
        <v>415</v>
      </c>
      <c r="D6" s="160"/>
      <c r="E6" s="160"/>
      <c r="F6" s="160"/>
      <c r="G6" s="160"/>
      <c r="H6" s="161"/>
      <c r="I6" s="35" t="s">
        <v>147</v>
      </c>
      <c r="J6" s="35" t="s">
        <v>51</v>
      </c>
      <c r="K6" s="35" t="s">
        <v>147</v>
      </c>
      <c r="L6" s="35" t="s">
        <v>147</v>
      </c>
      <c r="M6" s="35" t="s">
        <v>147</v>
      </c>
      <c r="N6" s="35" t="s">
        <v>51</v>
      </c>
      <c r="O6" s="35" t="s">
        <v>51</v>
      </c>
      <c r="P6" s="35" t="s">
        <v>51</v>
      </c>
      <c r="Q6" s="35" t="s">
        <v>51</v>
      </c>
      <c r="R6" s="35" t="s">
        <v>51</v>
      </c>
    </row>
    <row r="8" spans="1:18" ht="15" customHeight="1" x14ac:dyDescent="0.25"/>
    <row r="14" spans="1:18" ht="15" customHeight="1" x14ac:dyDescent="0.25"/>
    <row r="22" ht="15" customHeight="1" x14ac:dyDescent="0.25"/>
    <row r="27" ht="15" customHeight="1" x14ac:dyDescent="0.25"/>
    <row r="51" spans="4:4" x14ac:dyDescent="0.25">
      <c r="D51" s="33"/>
    </row>
  </sheetData>
  <mergeCells count="1">
    <mergeCell ref="C6:H6"/>
  </mergeCells>
  <pageMargins left="0.7" right="0.7" top="0.75" bottom="0.75" header="0.3" footer="0.3"/>
  <pageSetup paperSize="9" scale="56" orientation="landscape" verticalDpi="599" r:id="rId1"/>
  <headerFooter>
    <oddFooter>&amp;C&amp;1#&amp;"Calibri"&amp;10&amp;K000000Internal</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Q27"/>
  <sheetViews>
    <sheetView workbookViewId="0"/>
  </sheetViews>
  <sheetFormatPr defaultColWidth="9" defaultRowHeight="15" x14ac:dyDescent="0.25"/>
  <cols>
    <col min="1" max="1" width="15.85546875" customWidth="1"/>
    <col min="2" max="4" width="9" customWidth="1"/>
    <col min="5" max="5" width="10.42578125" bestFit="1" customWidth="1"/>
    <col min="6" max="8" width="9" customWidth="1"/>
    <col min="9" max="9" width="10.7109375" customWidth="1"/>
    <col min="10" max="11" width="9" customWidth="1"/>
    <col min="12" max="12" width="12.85546875" customWidth="1"/>
    <col min="13" max="13" width="13" customWidth="1"/>
  </cols>
  <sheetData>
    <row r="1" spans="1:17" ht="41.25" customHeight="1" x14ac:dyDescent="0.25">
      <c r="A1" s="32" t="s">
        <v>410</v>
      </c>
      <c r="B1" s="32"/>
      <c r="C1" s="32"/>
      <c r="D1" s="32"/>
      <c r="E1" s="32"/>
      <c r="F1" s="32"/>
      <c r="G1" s="32"/>
      <c r="H1" s="32"/>
      <c r="I1" s="32"/>
      <c r="J1" s="32"/>
      <c r="K1" s="32"/>
      <c r="L1" s="32"/>
      <c r="M1" s="32"/>
      <c r="N1" s="32"/>
      <c r="O1" s="32"/>
      <c r="P1" s="32"/>
      <c r="Q1" s="32"/>
    </row>
    <row r="2" spans="1:17" ht="60.75" thickBot="1" x14ac:dyDescent="0.3">
      <c r="A2" s="34" t="s">
        <v>118</v>
      </c>
      <c r="B2" s="99" t="s">
        <v>136</v>
      </c>
      <c r="C2" s="99" t="s">
        <v>137</v>
      </c>
      <c r="D2" s="99" t="s">
        <v>138</v>
      </c>
      <c r="E2" s="99" t="s">
        <v>379</v>
      </c>
      <c r="F2" s="99" t="s">
        <v>270</v>
      </c>
      <c r="G2" s="99" t="s">
        <v>271</v>
      </c>
      <c r="H2" s="34" t="s">
        <v>119</v>
      </c>
      <c r="I2" s="34" t="s">
        <v>120</v>
      </c>
      <c r="J2" s="34" t="s">
        <v>121</v>
      </c>
      <c r="K2" s="34" t="s">
        <v>122</v>
      </c>
      <c r="L2" s="34" t="s">
        <v>123</v>
      </c>
      <c r="M2" s="34" t="s">
        <v>422</v>
      </c>
      <c r="N2" s="34" t="s">
        <v>124</v>
      </c>
      <c r="O2" s="34" t="s">
        <v>125</v>
      </c>
      <c r="P2" s="34" t="s">
        <v>126</v>
      </c>
      <c r="Q2" s="34" t="s">
        <v>127</v>
      </c>
    </row>
    <row r="3" spans="1:17" x14ac:dyDescent="0.25">
      <c r="A3" s="42" t="s">
        <v>385</v>
      </c>
      <c r="B3" s="42">
        <v>2022</v>
      </c>
      <c r="C3" s="42">
        <v>12</v>
      </c>
      <c r="D3" s="43">
        <v>19</v>
      </c>
      <c r="E3" s="97" t="s">
        <v>389</v>
      </c>
      <c r="F3" s="42">
        <v>2022</v>
      </c>
      <c r="G3" s="42">
        <v>12</v>
      </c>
      <c r="H3" s="43"/>
      <c r="I3" s="42" t="s">
        <v>141</v>
      </c>
      <c r="J3" s="44"/>
      <c r="K3" s="44"/>
      <c r="L3" s="44"/>
      <c r="M3" s="42" t="s">
        <v>157</v>
      </c>
      <c r="N3" s="42">
        <v>0</v>
      </c>
      <c r="O3" s="42">
        <v>0</v>
      </c>
      <c r="P3" s="42">
        <v>200</v>
      </c>
      <c r="Q3" s="42">
        <v>30700</v>
      </c>
    </row>
    <row r="4" spans="1:17" x14ac:dyDescent="0.25">
      <c r="A4" s="42" t="s">
        <v>385</v>
      </c>
      <c r="B4" s="42">
        <v>2022</v>
      </c>
      <c r="C4" s="42">
        <v>2</v>
      </c>
      <c r="D4" s="43">
        <v>14</v>
      </c>
      <c r="E4" s="97" t="s">
        <v>388</v>
      </c>
      <c r="F4" s="42">
        <v>2022</v>
      </c>
      <c r="G4" s="42">
        <v>2</v>
      </c>
      <c r="H4" s="43"/>
      <c r="I4" s="42" t="s">
        <v>141</v>
      </c>
      <c r="J4" s="44"/>
      <c r="K4" s="44"/>
      <c r="L4" s="44"/>
      <c r="M4" s="42" t="s">
        <v>157</v>
      </c>
      <c r="N4" s="42">
        <v>0</v>
      </c>
      <c r="O4" s="42">
        <v>0</v>
      </c>
      <c r="P4" s="42">
        <v>1510</v>
      </c>
      <c r="Q4" s="42">
        <v>0</v>
      </c>
    </row>
    <row r="5" spans="1:17" x14ac:dyDescent="0.25">
      <c r="A5" s="42" t="s">
        <v>385</v>
      </c>
      <c r="B5" s="42">
        <v>2022</v>
      </c>
      <c r="C5" s="42">
        <v>2</v>
      </c>
      <c r="D5" s="43">
        <v>10</v>
      </c>
      <c r="E5" s="97" t="s">
        <v>386</v>
      </c>
      <c r="F5" s="42">
        <v>2022</v>
      </c>
      <c r="G5" s="42">
        <v>2</v>
      </c>
      <c r="H5" s="43"/>
      <c r="I5" s="42" t="s">
        <v>141</v>
      </c>
      <c r="J5" s="44"/>
      <c r="K5" s="44"/>
      <c r="L5" s="44"/>
      <c r="M5" s="42" t="s">
        <v>157</v>
      </c>
      <c r="N5" s="42">
        <v>0</v>
      </c>
      <c r="O5" s="42">
        <v>0</v>
      </c>
      <c r="P5" s="42">
        <v>2000</v>
      </c>
      <c r="Q5" s="42">
        <v>2890</v>
      </c>
    </row>
    <row r="6" spans="1:17" x14ac:dyDescent="0.25">
      <c r="A6" s="42" t="s">
        <v>385</v>
      </c>
      <c r="B6" s="42">
        <v>2022</v>
      </c>
      <c r="C6" s="42">
        <v>2</v>
      </c>
      <c r="D6" s="43">
        <v>16</v>
      </c>
      <c r="E6" s="97" t="s">
        <v>390</v>
      </c>
      <c r="F6" s="42">
        <v>2022</v>
      </c>
      <c r="G6" s="42">
        <v>2</v>
      </c>
      <c r="H6" s="43"/>
      <c r="I6" s="42" t="s">
        <v>141</v>
      </c>
      <c r="J6" s="44"/>
      <c r="K6" s="44"/>
      <c r="L6" s="44"/>
      <c r="M6" s="42" t="s">
        <v>157</v>
      </c>
      <c r="N6" s="42">
        <v>0</v>
      </c>
      <c r="O6" s="42">
        <v>0</v>
      </c>
      <c r="P6" s="42">
        <v>5580</v>
      </c>
      <c r="Q6" s="42">
        <v>1210</v>
      </c>
    </row>
    <row r="7" spans="1:17" x14ac:dyDescent="0.25">
      <c r="A7" s="42" t="s">
        <v>385</v>
      </c>
      <c r="B7" s="42">
        <v>2022</v>
      </c>
      <c r="C7" s="42">
        <v>9</v>
      </c>
      <c r="D7" s="43">
        <v>19</v>
      </c>
      <c r="E7" s="97" t="s">
        <v>391</v>
      </c>
      <c r="F7" s="42">
        <v>2022</v>
      </c>
      <c r="G7" s="42">
        <v>9</v>
      </c>
      <c r="H7" s="43"/>
      <c r="I7" s="42" t="s">
        <v>141</v>
      </c>
      <c r="J7" s="44"/>
      <c r="K7" s="44"/>
      <c r="L7" s="44"/>
      <c r="M7" s="42" t="s">
        <v>157</v>
      </c>
      <c r="N7" s="42">
        <v>0</v>
      </c>
      <c r="O7" s="42">
        <v>0</v>
      </c>
      <c r="P7" s="42">
        <v>30</v>
      </c>
      <c r="Q7" s="42">
        <v>500</v>
      </c>
    </row>
    <row r="8" spans="1:17" x14ac:dyDescent="0.25">
      <c r="A8" s="42" t="s">
        <v>385</v>
      </c>
      <c r="B8" s="42">
        <v>2022</v>
      </c>
      <c r="C8" s="42">
        <v>3</v>
      </c>
      <c r="D8" s="43">
        <v>21</v>
      </c>
      <c r="E8" s="97" t="s">
        <v>392</v>
      </c>
      <c r="F8" s="42">
        <v>2022</v>
      </c>
      <c r="G8" s="42">
        <v>3</v>
      </c>
      <c r="H8" s="43"/>
      <c r="I8" s="42" t="s">
        <v>141</v>
      </c>
      <c r="J8" s="44"/>
      <c r="K8" s="44"/>
      <c r="L8" s="44"/>
      <c r="M8" s="42" t="s">
        <v>157</v>
      </c>
      <c r="N8" s="42">
        <v>0</v>
      </c>
      <c r="O8" s="42">
        <v>0</v>
      </c>
      <c r="P8" s="42">
        <v>1900</v>
      </c>
      <c r="Q8" s="42">
        <v>265</v>
      </c>
    </row>
    <row r="9" spans="1:17" x14ac:dyDescent="0.25">
      <c r="A9" s="42" t="s">
        <v>385</v>
      </c>
      <c r="B9" s="42">
        <v>2023</v>
      </c>
      <c r="C9" s="42">
        <v>3</v>
      </c>
      <c r="D9" s="43">
        <v>20</v>
      </c>
      <c r="E9" s="97" t="s">
        <v>393</v>
      </c>
      <c r="F9" s="42">
        <v>2023</v>
      </c>
      <c r="G9" s="42">
        <v>3</v>
      </c>
      <c r="H9" s="43"/>
      <c r="I9" s="42" t="s">
        <v>141</v>
      </c>
      <c r="J9" s="44"/>
      <c r="K9" s="44"/>
      <c r="L9" s="44"/>
      <c r="M9" s="42" t="s">
        <v>157</v>
      </c>
      <c r="N9" s="42">
        <v>0</v>
      </c>
      <c r="O9" s="42">
        <v>0</v>
      </c>
      <c r="P9" s="42">
        <v>0</v>
      </c>
      <c r="Q9" s="42">
        <v>250</v>
      </c>
    </row>
    <row r="10" spans="1:17" x14ac:dyDescent="0.25">
      <c r="A10" s="42" t="s">
        <v>385</v>
      </c>
      <c r="B10" s="42">
        <v>2024</v>
      </c>
      <c r="C10" s="42">
        <v>9</v>
      </c>
      <c r="D10" s="43">
        <v>23</v>
      </c>
      <c r="E10" s="97" t="s">
        <v>394</v>
      </c>
      <c r="F10" s="42">
        <v>2024</v>
      </c>
      <c r="G10" s="42">
        <v>9</v>
      </c>
      <c r="H10" s="43"/>
      <c r="I10" s="42" t="s">
        <v>141</v>
      </c>
      <c r="J10" s="44"/>
      <c r="K10" s="44"/>
      <c r="L10" s="44"/>
      <c r="M10" s="42" t="s">
        <v>157</v>
      </c>
      <c r="N10" s="42">
        <v>0</v>
      </c>
      <c r="O10" s="42">
        <v>0</v>
      </c>
      <c r="P10" s="42">
        <v>0</v>
      </c>
      <c r="Q10" s="42">
        <v>200</v>
      </c>
    </row>
    <row r="11" spans="1:17" x14ac:dyDescent="0.25">
      <c r="A11" s="42" t="s">
        <v>385</v>
      </c>
      <c r="B11" s="42">
        <v>2023</v>
      </c>
      <c r="C11" s="42">
        <v>9</v>
      </c>
      <c r="D11" s="43">
        <v>18</v>
      </c>
      <c r="E11" s="97" t="s">
        <v>395</v>
      </c>
      <c r="F11" s="42">
        <v>2023</v>
      </c>
      <c r="G11" s="42">
        <v>9</v>
      </c>
      <c r="H11" s="43"/>
      <c r="I11" s="42" t="s">
        <v>141</v>
      </c>
      <c r="J11" s="44"/>
      <c r="K11" s="44"/>
      <c r="L11" s="44"/>
      <c r="M11" s="42" t="s">
        <v>157</v>
      </c>
      <c r="N11" s="42">
        <v>0</v>
      </c>
      <c r="O11" s="42">
        <v>0</v>
      </c>
      <c r="P11" s="42">
        <v>100</v>
      </c>
      <c r="Q11" s="42">
        <v>0</v>
      </c>
    </row>
    <row r="12" spans="1:17" x14ac:dyDescent="0.25">
      <c r="A12" s="42" t="s">
        <v>385</v>
      </c>
      <c r="B12" s="42">
        <v>2022</v>
      </c>
      <c r="C12" s="42">
        <v>2</v>
      </c>
      <c r="D12" s="42">
        <v>10</v>
      </c>
      <c r="E12" s="97" t="s">
        <v>386</v>
      </c>
      <c r="F12" s="22"/>
      <c r="G12" s="22"/>
      <c r="H12" s="43"/>
      <c r="I12" s="42" t="s">
        <v>141</v>
      </c>
      <c r="J12" s="44"/>
      <c r="K12" s="44"/>
      <c r="L12" s="44"/>
      <c r="M12" s="42" t="s">
        <v>131</v>
      </c>
      <c r="N12" s="42">
        <v>0</v>
      </c>
      <c r="O12" s="42">
        <v>0</v>
      </c>
      <c r="P12" s="42">
        <v>100</v>
      </c>
      <c r="Q12" s="42">
        <v>0</v>
      </c>
    </row>
    <row r="13" spans="1:17" x14ac:dyDescent="0.25">
      <c r="A13" s="42" t="s">
        <v>385</v>
      </c>
      <c r="B13" s="42">
        <v>2022</v>
      </c>
      <c r="C13" s="42">
        <v>2</v>
      </c>
      <c r="D13" s="42">
        <v>9</v>
      </c>
      <c r="E13" s="97" t="s">
        <v>387</v>
      </c>
      <c r="F13" s="22"/>
      <c r="G13" s="22"/>
      <c r="H13" s="43"/>
      <c r="I13" s="42" t="s">
        <v>141</v>
      </c>
      <c r="J13" s="44"/>
      <c r="K13" s="44"/>
      <c r="L13" s="44"/>
      <c r="M13" s="42" t="s">
        <v>131</v>
      </c>
      <c r="N13" s="42">
        <v>0</v>
      </c>
      <c r="O13" s="42">
        <v>0</v>
      </c>
      <c r="P13" s="42">
        <v>100</v>
      </c>
      <c r="Q13" s="42">
        <v>0</v>
      </c>
    </row>
    <row r="14" spans="1:17" x14ac:dyDescent="0.25">
      <c r="A14" s="42" t="s">
        <v>385</v>
      </c>
      <c r="B14" s="42">
        <v>2022</v>
      </c>
      <c r="C14" s="42">
        <v>2</v>
      </c>
      <c r="D14" s="42">
        <v>14</v>
      </c>
      <c r="E14" s="97" t="s">
        <v>388</v>
      </c>
      <c r="F14" s="22"/>
      <c r="G14" s="22"/>
      <c r="H14" s="43"/>
      <c r="I14" s="42" t="s">
        <v>141</v>
      </c>
      <c r="J14" s="44"/>
      <c r="K14" s="44"/>
      <c r="L14" s="44"/>
      <c r="M14" s="42" t="s">
        <v>131</v>
      </c>
      <c r="N14" s="42">
        <v>0</v>
      </c>
      <c r="O14" s="42">
        <v>0</v>
      </c>
      <c r="P14" s="42">
        <v>100</v>
      </c>
      <c r="Q14" s="42">
        <v>0</v>
      </c>
    </row>
    <row r="25" spans="1:1" x14ac:dyDescent="0.25">
      <c r="A25" s="24" t="s">
        <v>73</v>
      </c>
    </row>
    <row r="26" spans="1:1" x14ac:dyDescent="0.25">
      <c r="A26" s="22" t="s">
        <v>72</v>
      </c>
    </row>
    <row r="27" spans="1:1" ht="45" x14ac:dyDescent="0.25">
      <c r="A27" s="57" t="s">
        <v>252</v>
      </c>
    </row>
  </sheetData>
  <pageMargins left="0.7" right="0.7" top="0.75" bottom="0.75" header="0.3" footer="0.3"/>
  <pageSetup paperSize="9" orientation="landscape" verticalDpi="599" r:id="rId1"/>
  <headerFooter>
    <oddFooter>&amp;C&amp;1#&amp;"Calibri"&amp;10&amp;K000000Internal</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AT25"/>
  <sheetViews>
    <sheetView workbookViewId="0">
      <selection activeCell="R29" sqref="R29"/>
    </sheetView>
  </sheetViews>
  <sheetFormatPr defaultColWidth="9" defaultRowHeight="15" x14ac:dyDescent="0.25"/>
  <cols>
    <col min="1" max="3" width="9" customWidth="1"/>
    <col min="4" max="4" width="10.7109375" bestFit="1" customWidth="1"/>
    <col min="5" max="5" width="10.7109375" customWidth="1"/>
    <col min="6" max="6" width="10.7109375" bestFit="1" customWidth="1"/>
    <col min="7" max="17" width="9" customWidth="1"/>
    <col min="18" max="18" width="36.140625" customWidth="1"/>
  </cols>
  <sheetData>
    <row r="1" spans="1:17" x14ac:dyDescent="0.25">
      <c r="A1" s="59" t="s">
        <v>260</v>
      </c>
    </row>
    <row r="2" spans="1:17" x14ac:dyDescent="0.25">
      <c r="A2" s="59" t="s">
        <v>261</v>
      </c>
    </row>
    <row r="4" spans="1:17" x14ac:dyDescent="0.25">
      <c r="A4" s="59" t="s">
        <v>256</v>
      </c>
    </row>
    <row r="6" spans="1:17" ht="38.25" customHeight="1" x14ac:dyDescent="0.25">
      <c r="A6" s="32" t="s">
        <v>184</v>
      </c>
      <c r="B6" s="32"/>
      <c r="C6" s="32"/>
      <c r="D6" s="32"/>
      <c r="E6" s="32"/>
      <c r="F6" s="32"/>
      <c r="G6" s="32"/>
      <c r="H6" s="32"/>
      <c r="I6" s="32"/>
      <c r="J6" s="32"/>
      <c r="K6" s="32"/>
      <c r="L6" s="32"/>
      <c r="M6" s="32"/>
      <c r="N6" s="32"/>
      <c r="O6" s="32"/>
      <c r="P6" s="32"/>
      <c r="Q6" s="32"/>
    </row>
    <row r="7" spans="1:17" ht="60.75" thickBot="1" x14ac:dyDescent="0.3">
      <c r="A7" s="34" t="s">
        <v>118</v>
      </c>
      <c r="B7" s="99" t="s">
        <v>136</v>
      </c>
      <c r="C7" s="99" t="s">
        <v>137</v>
      </c>
      <c r="D7" s="99" t="s">
        <v>138</v>
      </c>
      <c r="E7" s="99" t="s">
        <v>379</v>
      </c>
      <c r="F7" s="99" t="s">
        <v>270</v>
      </c>
      <c r="G7" s="99" t="s">
        <v>271</v>
      </c>
      <c r="H7" s="34" t="s">
        <v>119</v>
      </c>
      <c r="I7" s="34" t="s">
        <v>120</v>
      </c>
      <c r="J7" s="34" t="s">
        <v>121</v>
      </c>
      <c r="K7" s="34" t="s">
        <v>122</v>
      </c>
      <c r="L7" s="34" t="s">
        <v>123</v>
      </c>
      <c r="M7" s="34" t="s">
        <v>422</v>
      </c>
      <c r="N7" s="34" t="s">
        <v>124</v>
      </c>
      <c r="O7" s="34" t="s">
        <v>125</v>
      </c>
      <c r="P7" s="34" t="s">
        <v>126</v>
      </c>
      <c r="Q7" s="34" t="s">
        <v>127</v>
      </c>
    </row>
    <row r="8" spans="1:17" x14ac:dyDescent="0.25">
      <c r="A8" s="42" t="s">
        <v>400</v>
      </c>
      <c r="B8" s="42">
        <v>2022</v>
      </c>
      <c r="C8" s="42">
        <v>3</v>
      </c>
      <c r="D8" s="43">
        <v>14</v>
      </c>
      <c r="E8" s="97" t="s">
        <v>401</v>
      </c>
      <c r="F8" s="43"/>
      <c r="G8" s="43"/>
      <c r="H8" s="43"/>
      <c r="I8" s="42" t="s">
        <v>405</v>
      </c>
      <c r="J8" s="44"/>
      <c r="K8" s="44"/>
      <c r="L8" s="44"/>
      <c r="M8" s="42" t="s">
        <v>157</v>
      </c>
      <c r="N8" s="42">
        <v>0</v>
      </c>
      <c r="O8" s="42">
        <v>0</v>
      </c>
      <c r="P8" s="42">
        <v>0</v>
      </c>
      <c r="Q8" s="42">
        <v>10</v>
      </c>
    </row>
    <row r="20" spans="1:46" x14ac:dyDescent="0.25">
      <c r="A20" s="59" t="s">
        <v>257</v>
      </c>
    </row>
    <row r="22" spans="1:46" ht="18.75" x14ac:dyDescent="0.25">
      <c r="A22" s="155" t="s">
        <v>75</v>
      </c>
      <c r="B22" s="155"/>
      <c r="C22" s="15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155"/>
      <c r="AB22" s="155"/>
      <c r="AC22" s="155"/>
      <c r="AD22" s="155"/>
      <c r="AE22" s="155"/>
      <c r="AF22" s="155"/>
      <c r="AG22" s="155"/>
      <c r="AH22" s="155"/>
      <c r="AI22" s="155"/>
      <c r="AJ22" s="155"/>
      <c r="AK22" s="155"/>
      <c r="AL22" s="155"/>
      <c r="AM22" s="155"/>
      <c r="AN22" s="155"/>
      <c r="AO22" s="155"/>
      <c r="AP22" s="155"/>
      <c r="AQ22" s="155"/>
      <c r="AR22" s="155"/>
      <c r="AS22" s="155"/>
      <c r="AT22" s="162"/>
    </row>
    <row r="23" spans="1:46" ht="21" x14ac:dyDescent="0.25">
      <c r="A23" s="149"/>
      <c r="B23" s="149"/>
      <c r="C23" s="149"/>
      <c r="D23" s="149"/>
      <c r="E23" s="124" t="s">
        <v>16</v>
      </c>
      <c r="F23" s="125"/>
      <c r="G23" s="125"/>
      <c r="H23" s="125"/>
      <c r="I23" s="125"/>
      <c r="J23" s="125"/>
      <c r="K23" s="125"/>
      <c r="L23" s="125"/>
      <c r="M23" s="125"/>
      <c r="N23" s="125"/>
      <c r="O23" s="125"/>
      <c r="P23" s="125"/>
      <c r="Q23" s="125"/>
      <c r="R23" s="125"/>
      <c r="S23" s="125"/>
      <c r="T23" s="125"/>
      <c r="U23" s="125"/>
      <c r="V23" s="125"/>
      <c r="W23" s="125"/>
      <c r="X23" s="125"/>
      <c r="Y23" s="126"/>
      <c r="Z23" s="121" t="s">
        <v>19</v>
      </c>
      <c r="AA23" s="122"/>
      <c r="AB23" s="122"/>
      <c r="AC23" s="122"/>
      <c r="AD23" s="122"/>
      <c r="AE23" s="122"/>
      <c r="AF23" s="122"/>
      <c r="AG23" s="122"/>
      <c r="AH23" s="122"/>
      <c r="AI23" s="122"/>
      <c r="AJ23" s="122"/>
      <c r="AK23" s="122"/>
      <c r="AL23" s="122"/>
      <c r="AM23" s="122"/>
      <c r="AN23" s="122"/>
      <c r="AO23" s="122"/>
      <c r="AP23" s="122"/>
      <c r="AQ23" s="122"/>
      <c r="AR23" s="122"/>
      <c r="AS23" s="122"/>
      <c r="AT23" s="123"/>
    </row>
    <row r="24" spans="1:46" ht="75.75" thickBot="1" x14ac:dyDescent="0.3">
      <c r="A24" s="3" t="s">
        <v>28</v>
      </c>
      <c r="B24" s="3" t="s">
        <v>2</v>
      </c>
      <c r="C24" s="2" t="s">
        <v>15</v>
      </c>
      <c r="D24" s="3" t="s">
        <v>109</v>
      </c>
      <c r="E24" s="4" t="s">
        <v>17</v>
      </c>
      <c r="F24" s="3" t="s">
        <v>108</v>
      </c>
      <c r="G24" s="3" t="s">
        <v>18</v>
      </c>
      <c r="H24" s="3" t="s">
        <v>433</v>
      </c>
      <c r="I24" s="3" t="s">
        <v>24</v>
      </c>
      <c r="J24" s="3" t="s">
        <v>42</v>
      </c>
      <c r="K24" s="3" t="s">
        <v>14</v>
      </c>
      <c r="L24" s="3" t="s">
        <v>7</v>
      </c>
      <c r="M24" s="3" t="s">
        <v>110</v>
      </c>
      <c r="N24" s="3" t="s">
        <v>11</v>
      </c>
      <c r="O24" s="3" t="s">
        <v>12</v>
      </c>
      <c r="P24" s="3" t="s">
        <v>13</v>
      </c>
      <c r="Q24" s="3" t="s">
        <v>111</v>
      </c>
      <c r="R24" s="3" t="s">
        <v>25</v>
      </c>
      <c r="S24" s="3" t="s">
        <v>26</v>
      </c>
      <c r="T24" s="3" t="s">
        <v>20</v>
      </c>
      <c r="U24" s="3" t="s">
        <v>21</v>
      </c>
      <c r="V24" s="3" t="s">
        <v>22</v>
      </c>
      <c r="W24" s="3" t="s">
        <v>27</v>
      </c>
      <c r="X24" s="3" t="s">
        <v>23</v>
      </c>
      <c r="Y24" s="3" t="s">
        <v>435</v>
      </c>
      <c r="Z24" s="4" t="s">
        <v>17</v>
      </c>
      <c r="AA24" s="3" t="s">
        <v>108</v>
      </c>
      <c r="AB24" s="3" t="s">
        <v>18</v>
      </c>
      <c r="AC24" s="3" t="s">
        <v>433</v>
      </c>
      <c r="AD24" s="3" t="s">
        <v>24</v>
      </c>
      <c r="AE24" s="3" t="s">
        <v>42</v>
      </c>
      <c r="AF24" s="3" t="s">
        <v>14</v>
      </c>
      <c r="AG24" s="3" t="s">
        <v>7</v>
      </c>
      <c r="AH24" s="3" t="s">
        <v>110</v>
      </c>
      <c r="AI24" s="3" t="s">
        <v>11</v>
      </c>
      <c r="AJ24" s="3" t="s">
        <v>12</v>
      </c>
      <c r="AK24" s="3" t="s">
        <v>13</v>
      </c>
      <c r="AL24" s="3" t="s">
        <v>111</v>
      </c>
      <c r="AM24" s="3" t="s">
        <v>25</v>
      </c>
      <c r="AN24" s="3" t="s">
        <v>26</v>
      </c>
      <c r="AO24" s="3" t="s">
        <v>20</v>
      </c>
      <c r="AP24" s="3" t="s">
        <v>21</v>
      </c>
      <c r="AQ24" s="3" t="s">
        <v>22</v>
      </c>
      <c r="AR24" s="3" t="s">
        <v>27</v>
      </c>
      <c r="AS24" s="5" t="s">
        <v>23</v>
      </c>
      <c r="AT24" s="120" t="s">
        <v>435</v>
      </c>
    </row>
    <row r="25" spans="1:46" ht="15.75" customHeight="1" x14ac:dyDescent="0.25">
      <c r="A25" s="24">
        <v>15</v>
      </c>
      <c r="B25" s="24" t="s">
        <v>30</v>
      </c>
      <c r="C25" s="24" t="s">
        <v>4</v>
      </c>
      <c r="D25" s="25" t="s">
        <v>403</v>
      </c>
      <c r="E25" s="24" t="s">
        <v>6</v>
      </c>
      <c r="F25" s="25" t="s">
        <v>402</v>
      </c>
      <c r="G25" s="22"/>
      <c r="H25" s="26"/>
      <c r="I25" s="24" t="s">
        <v>29</v>
      </c>
      <c r="J25" s="26"/>
      <c r="K25" s="24">
        <v>100000</v>
      </c>
      <c r="L25" s="24" t="s">
        <v>9</v>
      </c>
      <c r="M25" s="26"/>
      <c r="N25" s="22"/>
      <c r="O25" s="22"/>
      <c r="P25" s="22"/>
      <c r="Q25" s="22"/>
      <c r="R25" s="22"/>
      <c r="S25" s="22"/>
      <c r="T25" s="24" t="s">
        <v>39</v>
      </c>
      <c r="U25" s="24" t="s">
        <v>45</v>
      </c>
      <c r="V25" s="24" t="s">
        <v>40</v>
      </c>
      <c r="W25" s="22" t="s">
        <v>43</v>
      </c>
      <c r="X25" s="22" t="s">
        <v>255</v>
      </c>
      <c r="Y25" s="26"/>
      <c r="Z25" s="24" t="s">
        <v>32</v>
      </c>
      <c r="AA25" s="25" t="s">
        <v>402</v>
      </c>
      <c r="AB25" s="24">
        <v>1.75</v>
      </c>
      <c r="AC25" s="26"/>
      <c r="AD25" s="26"/>
      <c r="AE25" s="26"/>
      <c r="AF25" s="24">
        <v>100000</v>
      </c>
      <c r="AG25" s="24" t="s">
        <v>10</v>
      </c>
      <c r="AH25" s="26"/>
      <c r="AI25" s="22"/>
      <c r="AJ25" s="22"/>
      <c r="AK25" s="22"/>
      <c r="AL25" s="22"/>
      <c r="AM25" s="22"/>
      <c r="AN25" s="22"/>
      <c r="AO25" s="24" t="s">
        <v>33</v>
      </c>
      <c r="AP25" s="24" t="s">
        <v>45</v>
      </c>
      <c r="AQ25" s="24" t="s">
        <v>40</v>
      </c>
      <c r="AR25" s="22" t="s">
        <v>43</v>
      </c>
      <c r="AS25" s="22" t="s">
        <v>255</v>
      </c>
      <c r="AT25" s="26"/>
    </row>
  </sheetData>
  <mergeCells count="2">
    <mergeCell ref="A23:D23"/>
    <mergeCell ref="A22:AT22"/>
  </mergeCells>
  <dataValidations disablePrompts="1" count="1">
    <dataValidation showDropDown="1" showInputMessage="1" showErrorMessage="1" sqref="Y25 H25 AC25 AT25" xr:uid="{EA8A4048-8959-4174-8275-02FB8C29E69A}"/>
  </dataValidations>
  <pageMargins left="0.7" right="0.7" top="0.75" bottom="0.75" header="0.3" footer="0.3"/>
  <pageSetup paperSize="9" orientation="portrait" r:id="rId1"/>
  <headerFooter>
    <oddFooter>&amp;C&amp;1#&amp;"Calibri"&amp;10&amp;K000000Internal</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2">
    <pageSetUpPr fitToPage="1"/>
  </sheetPr>
  <dimension ref="A1:Q25"/>
  <sheetViews>
    <sheetView workbookViewId="0"/>
  </sheetViews>
  <sheetFormatPr defaultColWidth="9" defaultRowHeight="15" x14ac:dyDescent="0.25"/>
  <cols>
    <col min="1" max="1" width="17.7109375" customWidth="1"/>
    <col min="2" max="4" width="9" customWidth="1"/>
    <col min="5" max="7" width="11.85546875" customWidth="1"/>
    <col min="8" max="11" width="9" customWidth="1"/>
    <col min="12" max="12" width="12.85546875" customWidth="1"/>
    <col min="13" max="13" width="13" customWidth="1"/>
  </cols>
  <sheetData>
    <row r="1" spans="1:17" ht="41.25" customHeight="1" x14ac:dyDescent="0.25">
      <c r="A1" s="32" t="s">
        <v>411</v>
      </c>
      <c r="B1" s="32"/>
      <c r="C1" s="32"/>
      <c r="D1" s="32"/>
      <c r="E1" s="32"/>
      <c r="F1" s="32"/>
      <c r="G1" s="32"/>
      <c r="H1" s="32"/>
      <c r="I1" s="32"/>
      <c r="J1" s="32"/>
      <c r="K1" s="32"/>
      <c r="L1" s="32"/>
      <c r="M1" s="32"/>
      <c r="N1" s="32"/>
      <c r="O1" s="32"/>
      <c r="P1" s="32"/>
      <c r="Q1" s="32"/>
    </row>
    <row r="2" spans="1:17" ht="60.75" thickBot="1" x14ac:dyDescent="0.3">
      <c r="A2" s="34" t="s">
        <v>118</v>
      </c>
      <c r="B2" s="34" t="s">
        <v>136</v>
      </c>
      <c r="C2" s="34" t="s">
        <v>137</v>
      </c>
      <c r="D2" s="34" t="s">
        <v>138</v>
      </c>
      <c r="E2" s="34" t="s">
        <v>379</v>
      </c>
      <c r="F2" s="34" t="s">
        <v>270</v>
      </c>
      <c r="G2" s="34" t="s">
        <v>271</v>
      </c>
      <c r="H2" s="34" t="s">
        <v>119</v>
      </c>
      <c r="I2" s="34" t="s">
        <v>120</v>
      </c>
      <c r="J2" s="34" t="s">
        <v>121</v>
      </c>
      <c r="K2" s="34" t="s">
        <v>122</v>
      </c>
      <c r="L2" s="34" t="s">
        <v>123</v>
      </c>
      <c r="M2" s="34" t="s">
        <v>422</v>
      </c>
      <c r="N2" s="34" t="s">
        <v>124</v>
      </c>
      <c r="O2" s="34" t="s">
        <v>125</v>
      </c>
      <c r="P2" s="34" t="s">
        <v>126</v>
      </c>
      <c r="Q2" s="34" t="s">
        <v>127</v>
      </c>
    </row>
    <row r="3" spans="1:17" x14ac:dyDescent="0.25">
      <c r="A3" s="42" t="s">
        <v>397</v>
      </c>
      <c r="B3" s="42">
        <v>2022</v>
      </c>
      <c r="C3" s="42">
        <v>3</v>
      </c>
      <c r="D3" s="43">
        <v>16</v>
      </c>
      <c r="E3" s="97" t="s">
        <v>392</v>
      </c>
      <c r="F3" s="97"/>
      <c r="G3" s="97"/>
      <c r="H3" s="42">
        <v>0</v>
      </c>
      <c r="I3" s="42" t="s">
        <v>173</v>
      </c>
      <c r="J3" s="42" t="s">
        <v>141</v>
      </c>
      <c r="K3" s="42">
        <v>24</v>
      </c>
      <c r="L3" s="42" t="s">
        <v>174</v>
      </c>
      <c r="M3" s="42" t="s">
        <v>159</v>
      </c>
      <c r="N3" s="42">
        <v>0</v>
      </c>
      <c r="O3" s="42">
        <v>0</v>
      </c>
      <c r="P3" s="42">
        <v>84</v>
      </c>
      <c r="Q3" s="42">
        <v>0</v>
      </c>
    </row>
    <row r="4" spans="1:17" x14ac:dyDescent="0.25">
      <c r="A4" s="42" t="s">
        <v>397</v>
      </c>
      <c r="B4" s="42">
        <v>2022</v>
      </c>
      <c r="C4" s="42">
        <v>3</v>
      </c>
      <c r="D4" s="43">
        <v>16</v>
      </c>
      <c r="E4" s="97" t="s">
        <v>392</v>
      </c>
      <c r="F4" s="97"/>
      <c r="G4" s="97"/>
      <c r="H4" s="42">
        <v>0</v>
      </c>
      <c r="I4" s="42" t="s">
        <v>173</v>
      </c>
      <c r="J4" s="42" t="s">
        <v>141</v>
      </c>
      <c r="K4" s="42">
        <v>25</v>
      </c>
      <c r="L4" s="42" t="s">
        <v>174</v>
      </c>
      <c r="M4" s="42" t="s">
        <v>159</v>
      </c>
      <c r="N4" s="42">
        <v>0</v>
      </c>
      <c r="O4" s="42">
        <v>0</v>
      </c>
      <c r="P4" s="42">
        <v>84</v>
      </c>
      <c r="Q4" s="42">
        <v>0</v>
      </c>
    </row>
    <row r="5" spans="1:17" x14ac:dyDescent="0.25">
      <c r="A5" s="42" t="s">
        <v>398</v>
      </c>
      <c r="B5" s="42">
        <v>2022</v>
      </c>
      <c r="C5" s="42">
        <v>3</v>
      </c>
      <c r="D5" s="43">
        <v>16</v>
      </c>
      <c r="E5" s="97" t="s">
        <v>392</v>
      </c>
      <c r="F5" s="97"/>
      <c r="G5" s="97"/>
      <c r="H5" s="42">
        <v>0</v>
      </c>
      <c r="I5" s="42" t="s">
        <v>173</v>
      </c>
      <c r="J5" s="42" t="s">
        <v>141</v>
      </c>
      <c r="K5" s="42">
        <v>72</v>
      </c>
      <c r="L5" s="42" t="s">
        <v>174</v>
      </c>
      <c r="M5" s="42" t="s">
        <v>159</v>
      </c>
      <c r="N5" s="42">
        <v>0</v>
      </c>
      <c r="O5" s="42">
        <v>0</v>
      </c>
      <c r="P5" s="42">
        <v>8775</v>
      </c>
      <c r="Q5" s="42">
        <v>8085</v>
      </c>
    </row>
    <row r="6" spans="1:17" x14ac:dyDescent="0.25">
      <c r="A6" s="42" t="s">
        <v>398</v>
      </c>
      <c r="B6" s="42">
        <v>2022</v>
      </c>
      <c r="C6" s="42">
        <v>3</v>
      </c>
      <c r="D6" s="43">
        <v>16</v>
      </c>
      <c r="E6" s="97" t="s">
        <v>392</v>
      </c>
      <c r="F6" s="97"/>
      <c r="G6" s="97"/>
      <c r="H6" s="42">
        <v>0</v>
      </c>
      <c r="I6" s="42" t="s">
        <v>173</v>
      </c>
      <c r="J6" s="42" t="s">
        <v>141</v>
      </c>
      <c r="K6" s="42">
        <v>72</v>
      </c>
      <c r="L6" s="42" t="s">
        <v>174</v>
      </c>
      <c r="M6" s="42" t="s">
        <v>159</v>
      </c>
      <c r="N6" s="42">
        <v>0</v>
      </c>
      <c r="O6" s="42">
        <v>0</v>
      </c>
      <c r="P6" s="42">
        <v>3100</v>
      </c>
      <c r="Q6" s="42">
        <v>4460</v>
      </c>
    </row>
    <row r="7" spans="1:17" x14ac:dyDescent="0.25">
      <c r="A7" s="42" t="s">
        <v>398</v>
      </c>
      <c r="B7" s="42">
        <v>2022</v>
      </c>
      <c r="C7" s="42">
        <v>3</v>
      </c>
      <c r="D7" s="43">
        <v>16</v>
      </c>
      <c r="E7" s="97" t="s">
        <v>392</v>
      </c>
      <c r="F7" s="97"/>
      <c r="G7" s="97"/>
      <c r="H7" s="42">
        <v>0</v>
      </c>
      <c r="I7" s="42" t="s">
        <v>173</v>
      </c>
      <c r="J7" s="42" t="s">
        <v>141</v>
      </c>
      <c r="K7" s="42">
        <v>72</v>
      </c>
      <c r="L7" s="42" t="s">
        <v>174</v>
      </c>
      <c r="M7" s="42" t="s">
        <v>159</v>
      </c>
      <c r="N7" s="42">
        <v>0</v>
      </c>
      <c r="O7" s="42">
        <v>0</v>
      </c>
      <c r="P7" s="42">
        <v>440</v>
      </c>
      <c r="Q7" s="42">
        <v>320</v>
      </c>
    </row>
    <row r="8" spans="1:17" x14ac:dyDescent="0.25">
      <c r="A8" s="42" t="s">
        <v>398</v>
      </c>
      <c r="B8" s="42">
        <v>2022</v>
      </c>
      <c r="C8" s="42">
        <v>3</v>
      </c>
      <c r="D8" s="43">
        <v>16</v>
      </c>
      <c r="E8" s="97" t="s">
        <v>392</v>
      </c>
      <c r="F8" s="97"/>
      <c r="G8" s="97"/>
      <c r="H8" s="42">
        <v>0</v>
      </c>
      <c r="I8" s="42" t="s">
        <v>173</v>
      </c>
      <c r="J8" s="42" t="s">
        <v>141</v>
      </c>
      <c r="K8" s="42">
        <v>76</v>
      </c>
      <c r="L8" s="42" t="s">
        <v>174</v>
      </c>
      <c r="M8" s="42" t="s">
        <v>159</v>
      </c>
      <c r="N8" s="42">
        <v>0</v>
      </c>
      <c r="O8" s="42">
        <v>0</v>
      </c>
      <c r="P8" s="42">
        <v>1500</v>
      </c>
      <c r="Q8" s="42">
        <v>1500</v>
      </c>
    </row>
    <row r="9" spans="1:17" x14ac:dyDescent="0.25">
      <c r="A9" s="42" t="s">
        <v>399</v>
      </c>
      <c r="B9" s="42">
        <v>2022</v>
      </c>
      <c r="C9" s="42">
        <v>6</v>
      </c>
      <c r="D9" s="43">
        <v>17</v>
      </c>
      <c r="E9" s="97" t="s">
        <v>396</v>
      </c>
      <c r="F9" s="97"/>
      <c r="G9" s="97"/>
      <c r="H9" s="42">
        <v>0</v>
      </c>
      <c r="I9" s="42" t="s">
        <v>173</v>
      </c>
      <c r="J9" s="42" t="s">
        <v>141</v>
      </c>
      <c r="K9" s="42">
        <v>280</v>
      </c>
      <c r="L9" s="42" t="s">
        <v>174</v>
      </c>
      <c r="M9" s="42" t="s">
        <v>159</v>
      </c>
      <c r="N9" s="42">
        <v>0</v>
      </c>
      <c r="O9" s="42">
        <v>0</v>
      </c>
      <c r="P9" s="42">
        <v>10</v>
      </c>
      <c r="Q9" s="42">
        <v>10</v>
      </c>
    </row>
    <row r="10" spans="1:17" x14ac:dyDescent="0.25">
      <c r="A10" s="42" t="s">
        <v>399</v>
      </c>
      <c r="B10" s="42">
        <v>2022</v>
      </c>
      <c r="C10" s="42">
        <v>6</v>
      </c>
      <c r="D10" s="43">
        <v>17</v>
      </c>
      <c r="E10" s="97" t="s">
        <v>396</v>
      </c>
      <c r="F10" s="97"/>
      <c r="G10" s="97"/>
      <c r="H10" s="42">
        <v>0</v>
      </c>
      <c r="I10" s="42" t="s">
        <v>173</v>
      </c>
      <c r="J10" s="42" t="s">
        <v>141</v>
      </c>
      <c r="K10" s="42">
        <v>260</v>
      </c>
      <c r="L10" s="42" t="s">
        <v>174</v>
      </c>
      <c r="M10" s="42" t="s">
        <v>159</v>
      </c>
      <c r="N10" s="42">
        <v>0</v>
      </c>
      <c r="O10" s="42">
        <v>0</v>
      </c>
      <c r="P10" s="42">
        <v>32</v>
      </c>
      <c r="Q10" s="42">
        <v>20</v>
      </c>
    </row>
    <row r="11" spans="1:17" x14ac:dyDescent="0.25">
      <c r="A11" s="42" t="s">
        <v>172</v>
      </c>
      <c r="B11" s="42">
        <v>2022</v>
      </c>
      <c r="C11" s="42">
        <v>2</v>
      </c>
      <c r="D11" s="42">
        <v>21</v>
      </c>
      <c r="E11" s="97" t="s">
        <v>383</v>
      </c>
      <c r="F11" s="22"/>
      <c r="G11" s="22"/>
      <c r="H11" s="42">
        <v>0</v>
      </c>
      <c r="I11" s="42" t="s">
        <v>173</v>
      </c>
      <c r="J11" s="42" t="s">
        <v>141</v>
      </c>
      <c r="K11" s="42">
        <v>1</v>
      </c>
      <c r="L11" s="42" t="s">
        <v>174</v>
      </c>
      <c r="M11" s="42" t="s">
        <v>160</v>
      </c>
      <c r="N11" s="42">
        <v>0</v>
      </c>
      <c r="O11" s="42">
        <v>0</v>
      </c>
      <c r="P11" s="42">
        <v>297</v>
      </c>
      <c r="Q11" s="42">
        <v>297</v>
      </c>
    </row>
    <row r="12" spans="1:17" x14ac:dyDescent="0.25">
      <c r="A12" s="42" t="s">
        <v>381</v>
      </c>
      <c r="B12" s="42">
        <v>2022</v>
      </c>
      <c r="C12" s="42">
        <v>2</v>
      </c>
      <c r="D12" s="42">
        <v>16</v>
      </c>
      <c r="E12" s="97" t="s">
        <v>384</v>
      </c>
      <c r="F12" s="22"/>
      <c r="G12" s="22"/>
      <c r="H12" s="42">
        <v>0</v>
      </c>
      <c r="I12" s="42" t="s">
        <v>141</v>
      </c>
      <c r="J12" s="42" t="s">
        <v>141</v>
      </c>
      <c r="K12" s="42">
        <v>22</v>
      </c>
      <c r="L12" s="42" t="s">
        <v>174</v>
      </c>
      <c r="M12" s="42" t="s">
        <v>160</v>
      </c>
      <c r="N12" s="42">
        <v>0</v>
      </c>
      <c r="O12" s="42">
        <v>0</v>
      </c>
      <c r="P12" s="42">
        <v>500</v>
      </c>
      <c r="Q12" s="42">
        <v>1000</v>
      </c>
    </row>
    <row r="13" spans="1:17" x14ac:dyDescent="0.25">
      <c r="A13" s="42" t="s">
        <v>381</v>
      </c>
      <c r="B13" s="42">
        <v>2022</v>
      </c>
      <c r="C13" s="42">
        <v>2</v>
      </c>
      <c r="D13" s="42">
        <v>16</v>
      </c>
      <c r="E13" s="97" t="s">
        <v>384</v>
      </c>
      <c r="F13" s="22"/>
      <c r="G13" s="22"/>
      <c r="H13" s="42">
        <v>0</v>
      </c>
      <c r="I13" s="42" t="s">
        <v>141</v>
      </c>
      <c r="J13" s="42" t="s">
        <v>141</v>
      </c>
      <c r="K13" s="42">
        <v>22</v>
      </c>
      <c r="L13" s="42" t="s">
        <v>174</v>
      </c>
      <c r="M13" s="42" t="s">
        <v>160</v>
      </c>
      <c r="N13" s="42">
        <v>0</v>
      </c>
      <c r="O13" s="42">
        <v>0</v>
      </c>
      <c r="P13" s="42">
        <v>0</v>
      </c>
      <c r="Q13" s="42">
        <v>250</v>
      </c>
    </row>
    <row r="14" spans="1:17" x14ac:dyDescent="0.25">
      <c r="A14" s="42" t="s">
        <v>381</v>
      </c>
      <c r="B14" s="42">
        <v>2022</v>
      </c>
      <c r="C14" s="42">
        <v>2</v>
      </c>
      <c r="D14" s="42">
        <v>16</v>
      </c>
      <c r="E14" s="97" t="s">
        <v>384</v>
      </c>
      <c r="F14" s="22"/>
      <c r="G14" s="22"/>
      <c r="H14" s="42">
        <v>0</v>
      </c>
      <c r="I14" s="42" t="s">
        <v>141</v>
      </c>
      <c r="J14" s="42" t="s">
        <v>141</v>
      </c>
      <c r="K14" s="42">
        <v>22</v>
      </c>
      <c r="L14" s="42" t="s">
        <v>174</v>
      </c>
      <c r="M14" s="42" t="s">
        <v>160</v>
      </c>
      <c r="N14" s="42">
        <v>0</v>
      </c>
      <c r="O14" s="42">
        <v>0</v>
      </c>
      <c r="P14" s="42">
        <v>300</v>
      </c>
      <c r="Q14" s="42">
        <v>300</v>
      </c>
    </row>
    <row r="15" spans="1:17" x14ac:dyDescent="0.25">
      <c r="A15" s="42" t="s">
        <v>381</v>
      </c>
      <c r="B15" s="42">
        <v>2022</v>
      </c>
      <c r="C15" s="42">
        <v>2</v>
      </c>
      <c r="D15" s="42">
        <v>16</v>
      </c>
      <c r="E15" s="97" t="s">
        <v>384</v>
      </c>
      <c r="F15" s="22"/>
      <c r="G15" s="22"/>
      <c r="H15" s="42">
        <v>0</v>
      </c>
      <c r="I15" s="42" t="s">
        <v>141</v>
      </c>
      <c r="J15" s="42" t="s">
        <v>141</v>
      </c>
      <c r="K15" s="42">
        <v>22</v>
      </c>
      <c r="L15" s="42" t="s">
        <v>174</v>
      </c>
      <c r="M15" s="42" t="s">
        <v>160</v>
      </c>
      <c r="N15" s="42">
        <v>0</v>
      </c>
      <c r="O15" s="42">
        <v>0</v>
      </c>
      <c r="P15" s="42">
        <v>250</v>
      </c>
      <c r="Q15" s="42">
        <v>0</v>
      </c>
    </row>
    <row r="16" spans="1:17" x14ac:dyDescent="0.25">
      <c r="A16" s="42" t="s">
        <v>381</v>
      </c>
      <c r="B16" s="42">
        <v>2022</v>
      </c>
      <c r="C16" s="42">
        <v>2</v>
      </c>
      <c r="D16" s="42">
        <v>16</v>
      </c>
      <c r="E16" s="97" t="s">
        <v>384</v>
      </c>
      <c r="F16" s="22"/>
      <c r="G16" s="22"/>
      <c r="H16" s="42">
        <v>0</v>
      </c>
      <c r="I16" s="42" t="s">
        <v>173</v>
      </c>
      <c r="J16" s="42" t="s">
        <v>141</v>
      </c>
      <c r="K16" s="42">
        <v>22</v>
      </c>
      <c r="L16" s="42" t="s">
        <v>174</v>
      </c>
      <c r="M16" s="42" t="s">
        <v>160</v>
      </c>
      <c r="N16" s="42">
        <v>0</v>
      </c>
      <c r="O16" s="42">
        <v>250</v>
      </c>
      <c r="P16" s="42">
        <v>0</v>
      </c>
      <c r="Q16" s="42">
        <v>0</v>
      </c>
    </row>
    <row r="17" spans="1:17" x14ac:dyDescent="0.25">
      <c r="A17" s="42" t="s">
        <v>381</v>
      </c>
      <c r="B17" s="42">
        <v>2022</v>
      </c>
      <c r="C17" s="42">
        <v>2</v>
      </c>
      <c r="D17" s="42">
        <v>16</v>
      </c>
      <c r="E17" s="97" t="s">
        <v>384</v>
      </c>
      <c r="F17" s="22"/>
      <c r="G17" s="22"/>
      <c r="H17" s="42">
        <v>0</v>
      </c>
      <c r="I17" s="42" t="s">
        <v>173</v>
      </c>
      <c r="J17" s="42" t="s">
        <v>173</v>
      </c>
      <c r="K17" s="42">
        <v>22</v>
      </c>
      <c r="L17" s="42" t="s">
        <v>174</v>
      </c>
      <c r="M17" s="42" t="s">
        <v>160</v>
      </c>
      <c r="N17" s="42">
        <v>0</v>
      </c>
      <c r="O17" s="42">
        <v>250</v>
      </c>
      <c r="P17" s="42">
        <v>0</v>
      </c>
      <c r="Q17" s="42">
        <v>0</v>
      </c>
    </row>
    <row r="18" spans="1:17" x14ac:dyDescent="0.25">
      <c r="A18" s="42" t="s">
        <v>382</v>
      </c>
      <c r="B18" s="42">
        <v>2022</v>
      </c>
      <c r="C18" s="42">
        <v>2</v>
      </c>
      <c r="D18" s="42">
        <v>16</v>
      </c>
      <c r="E18" s="97" t="s">
        <v>384</v>
      </c>
      <c r="F18" s="22"/>
      <c r="G18" s="22"/>
      <c r="H18" s="42">
        <v>0</v>
      </c>
      <c r="I18" s="42" t="s">
        <v>141</v>
      </c>
      <c r="J18" s="42" t="s">
        <v>141</v>
      </c>
      <c r="K18" s="42">
        <v>22</v>
      </c>
      <c r="L18" s="42" t="s">
        <v>158</v>
      </c>
      <c r="M18" s="42" t="s">
        <v>160</v>
      </c>
      <c r="N18" s="42">
        <v>0</v>
      </c>
      <c r="O18" s="42">
        <v>0</v>
      </c>
      <c r="P18" s="42">
        <v>250</v>
      </c>
      <c r="Q18" s="42">
        <v>0</v>
      </c>
    </row>
    <row r="19" spans="1:17" x14ac:dyDescent="0.25">
      <c r="A19" s="42" t="s">
        <v>381</v>
      </c>
      <c r="B19" s="42">
        <v>2022</v>
      </c>
      <c r="C19" s="42">
        <v>2</v>
      </c>
      <c r="D19" s="42">
        <v>16</v>
      </c>
      <c r="E19" s="97" t="s">
        <v>384</v>
      </c>
      <c r="F19" s="22"/>
      <c r="G19" s="22"/>
      <c r="H19" s="42">
        <v>0</v>
      </c>
      <c r="I19" s="42" t="s">
        <v>141</v>
      </c>
      <c r="J19" s="42" t="s">
        <v>141</v>
      </c>
      <c r="K19" s="42">
        <v>22</v>
      </c>
      <c r="L19" s="42" t="s">
        <v>174</v>
      </c>
      <c r="M19" s="42" t="s">
        <v>160</v>
      </c>
      <c r="N19" s="42">
        <v>0</v>
      </c>
      <c r="O19" s="42">
        <v>0</v>
      </c>
      <c r="P19" s="42">
        <v>0</v>
      </c>
      <c r="Q19" s="42">
        <v>250</v>
      </c>
    </row>
    <row r="23" spans="1:17" x14ac:dyDescent="0.25">
      <c r="A23" s="24" t="s">
        <v>73</v>
      </c>
    </row>
    <row r="24" spans="1:17" x14ac:dyDescent="0.25">
      <c r="A24" s="22" t="s">
        <v>72</v>
      </c>
    </row>
    <row r="25" spans="1:17" x14ac:dyDescent="0.25">
      <c r="A25" s="26" t="s">
        <v>74</v>
      </c>
    </row>
  </sheetData>
  <pageMargins left="0.7" right="0.7" top="0.75" bottom="0.75" header="0.3" footer="0.3"/>
  <pageSetup paperSize="9" scale="67" orientation="landscape" verticalDpi="599" r:id="rId1"/>
  <headerFooter>
    <oddFooter>&amp;C&amp;1#&amp;"Calibri"&amp;10&amp;K000000Internal</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A1:Q14"/>
  <sheetViews>
    <sheetView workbookViewId="0"/>
  </sheetViews>
  <sheetFormatPr defaultColWidth="9" defaultRowHeight="15" x14ac:dyDescent="0.25"/>
  <cols>
    <col min="1" max="4" width="9" customWidth="1"/>
    <col min="5" max="5" width="10.140625" bestFit="1" customWidth="1"/>
    <col min="6" max="7" width="10.140625" customWidth="1"/>
    <col min="8" max="11" width="9" customWidth="1"/>
    <col min="12" max="12" width="12.85546875" customWidth="1"/>
    <col min="13" max="13" width="13" customWidth="1"/>
  </cols>
  <sheetData>
    <row r="1" spans="1:17" ht="41.25" customHeight="1" x14ac:dyDescent="0.25">
      <c r="A1" s="32" t="s">
        <v>117</v>
      </c>
      <c r="B1" s="32"/>
      <c r="C1" s="32"/>
      <c r="D1" s="32"/>
      <c r="E1" s="32"/>
      <c r="F1" s="32"/>
      <c r="G1" s="32"/>
      <c r="H1" s="32"/>
      <c r="I1" s="32"/>
      <c r="J1" s="32"/>
      <c r="K1" s="32"/>
      <c r="L1" s="32"/>
      <c r="M1" s="32"/>
      <c r="N1" s="32"/>
      <c r="O1" s="32"/>
      <c r="P1" s="32"/>
      <c r="Q1" s="32"/>
    </row>
    <row r="2" spans="1:17" ht="60.75" thickBot="1" x14ac:dyDescent="0.3">
      <c r="A2" s="34" t="s">
        <v>118</v>
      </c>
      <c r="B2" s="34" t="s">
        <v>136</v>
      </c>
      <c r="C2" s="34" t="s">
        <v>137</v>
      </c>
      <c r="D2" s="34" t="s">
        <v>138</v>
      </c>
      <c r="E2" s="34" t="s">
        <v>379</v>
      </c>
      <c r="F2" s="34" t="s">
        <v>270</v>
      </c>
      <c r="G2" s="34" t="s">
        <v>271</v>
      </c>
      <c r="H2" s="34" t="s">
        <v>119</v>
      </c>
      <c r="I2" s="34" t="s">
        <v>120</v>
      </c>
      <c r="J2" s="34" t="s">
        <v>121</v>
      </c>
      <c r="K2" s="34" t="s">
        <v>122</v>
      </c>
      <c r="L2" s="34" t="s">
        <v>123</v>
      </c>
      <c r="M2" s="34" t="s">
        <v>422</v>
      </c>
      <c r="N2" s="34" t="s">
        <v>124</v>
      </c>
      <c r="O2" s="34" t="s">
        <v>125</v>
      </c>
      <c r="P2" s="34" t="s">
        <v>126</v>
      </c>
      <c r="Q2" s="34" t="s">
        <v>127</v>
      </c>
    </row>
    <row r="3" spans="1:17" x14ac:dyDescent="0.25">
      <c r="A3" t="s">
        <v>385</v>
      </c>
      <c r="B3">
        <v>2022</v>
      </c>
      <c r="C3">
        <v>12</v>
      </c>
      <c r="D3">
        <v>19</v>
      </c>
      <c r="E3" t="s">
        <v>389</v>
      </c>
      <c r="I3" t="s">
        <v>141</v>
      </c>
      <c r="M3" t="s">
        <v>157</v>
      </c>
      <c r="N3">
        <v>0</v>
      </c>
      <c r="O3">
        <v>0</v>
      </c>
      <c r="P3">
        <v>200</v>
      </c>
      <c r="Q3">
        <v>30700</v>
      </c>
    </row>
    <row r="4" spans="1:17" x14ac:dyDescent="0.25">
      <c r="A4" t="s">
        <v>385</v>
      </c>
      <c r="B4">
        <v>2022</v>
      </c>
      <c r="C4">
        <v>2</v>
      </c>
      <c r="D4">
        <v>14</v>
      </c>
      <c r="E4" t="s">
        <v>388</v>
      </c>
      <c r="I4" t="s">
        <v>141</v>
      </c>
      <c r="M4" t="s">
        <v>157</v>
      </c>
      <c r="N4">
        <v>0</v>
      </c>
      <c r="O4">
        <v>0</v>
      </c>
      <c r="P4">
        <v>1510</v>
      </c>
      <c r="Q4">
        <v>0</v>
      </c>
    </row>
    <row r="5" spans="1:17" x14ac:dyDescent="0.25">
      <c r="A5" t="s">
        <v>385</v>
      </c>
      <c r="B5">
        <v>2022</v>
      </c>
      <c r="C5">
        <v>2</v>
      </c>
      <c r="D5">
        <v>10</v>
      </c>
      <c r="E5" t="s">
        <v>386</v>
      </c>
      <c r="I5" t="s">
        <v>141</v>
      </c>
      <c r="M5" t="s">
        <v>157</v>
      </c>
      <c r="N5">
        <v>0</v>
      </c>
      <c r="O5">
        <v>0</v>
      </c>
      <c r="P5">
        <v>2000</v>
      </c>
      <c r="Q5">
        <v>2890</v>
      </c>
    </row>
    <row r="6" spans="1:17" x14ac:dyDescent="0.25">
      <c r="A6" t="s">
        <v>385</v>
      </c>
      <c r="B6">
        <v>2022</v>
      </c>
      <c r="C6">
        <v>2</v>
      </c>
      <c r="D6">
        <v>16</v>
      </c>
      <c r="E6" t="s">
        <v>390</v>
      </c>
      <c r="I6" t="s">
        <v>141</v>
      </c>
      <c r="M6" t="s">
        <v>157</v>
      </c>
      <c r="N6">
        <v>0</v>
      </c>
      <c r="O6">
        <v>0</v>
      </c>
      <c r="P6">
        <v>5580</v>
      </c>
      <c r="Q6">
        <v>1210</v>
      </c>
    </row>
    <row r="7" spans="1:17" x14ac:dyDescent="0.25">
      <c r="A7" t="s">
        <v>397</v>
      </c>
      <c r="B7">
        <v>2022</v>
      </c>
      <c r="C7">
        <v>3</v>
      </c>
      <c r="D7">
        <v>16</v>
      </c>
      <c r="E7" t="s">
        <v>392</v>
      </c>
      <c r="H7">
        <v>0</v>
      </c>
      <c r="I7" t="s">
        <v>173</v>
      </c>
      <c r="J7" t="s">
        <v>141</v>
      </c>
      <c r="K7">
        <v>24</v>
      </c>
      <c r="L7" t="s">
        <v>174</v>
      </c>
      <c r="M7" t="s">
        <v>159</v>
      </c>
      <c r="N7">
        <v>0</v>
      </c>
      <c r="O7">
        <v>0</v>
      </c>
      <c r="P7">
        <v>84</v>
      </c>
      <c r="Q7">
        <v>0</v>
      </c>
    </row>
    <row r="8" spans="1:17" x14ac:dyDescent="0.25">
      <c r="A8" t="s">
        <v>397</v>
      </c>
      <c r="B8">
        <v>2022</v>
      </c>
      <c r="C8">
        <v>3</v>
      </c>
      <c r="D8">
        <v>16</v>
      </c>
      <c r="E8" t="s">
        <v>392</v>
      </c>
      <c r="H8">
        <v>0</v>
      </c>
      <c r="I8" t="s">
        <v>173</v>
      </c>
      <c r="J8" t="s">
        <v>141</v>
      </c>
      <c r="K8">
        <v>25</v>
      </c>
      <c r="L8" t="s">
        <v>174</v>
      </c>
      <c r="M8" t="s">
        <v>159</v>
      </c>
      <c r="N8">
        <v>0</v>
      </c>
      <c r="O8">
        <v>0</v>
      </c>
      <c r="P8">
        <v>84</v>
      </c>
      <c r="Q8">
        <v>0</v>
      </c>
    </row>
    <row r="9" spans="1:17" x14ac:dyDescent="0.25">
      <c r="A9" t="s">
        <v>398</v>
      </c>
      <c r="B9">
        <v>2022</v>
      </c>
      <c r="C9">
        <v>3</v>
      </c>
      <c r="D9">
        <v>16</v>
      </c>
      <c r="E9" t="s">
        <v>392</v>
      </c>
      <c r="H9">
        <v>0</v>
      </c>
      <c r="I9" t="s">
        <v>173</v>
      </c>
      <c r="J9" t="s">
        <v>141</v>
      </c>
      <c r="K9">
        <v>72</v>
      </c>
      <c r="L9" t="s">
        <v>174</v>
      </c>
      <c r="M9" t="s">
        <v>159</v>
      </c>
      <c r="N9">
        <v>0</v>
      </c>
      <c r="O9">
        <v>0</v>
      </c>
      <c r="P9">
        <v>8775</v>
      </c>
      <c r="Q9">
        <v>8085</v>
      </c>
    </row>
    <row r="10" spans="1:17" x14ac:dyDescent="0.25">
      <c r="A10" t="s">
        <v>398</v>
      </c>
      <c r="B10">
        <v>2022</v>
      </c>
      <c r="C10">
        <v>3</v>
      </c>
      <c r="D10">
        <v>16</v>
      </c>
      <c r="E10" t="s">
        <v>392</v>
      </c>
      <c r="H10">
        <v>0</v>
      </c>
      <c r="I10" t="s">
        <v>173</v>
      </c>
      <c r="J10" t="s">
        <v>141</v>
      </c>
      <c r="K10">
        <v>72</v>
      </c>
      <c r="L10" t="s">
        <v>174</v>
      </c>
      <c r="M10" t="s">
        <v>159</v>
      </c>
      <c r="N10">
        <v>0</v>
      </c>
      <c r="O10">
        <v>0</v>
      </c>
      <c r="P10">
        <v>3100</v>
      </c>
      <c r="Q10">
        <v>4460</v>
      </c>
    </row>
    <row r="11" spans="1:17" x14ac:dyDescent="0.25">
      <c r="A11" t="s">
        <v>381</v>
      </c>
      <c r="B11">
        <v>2022</v>
      </c>
      <c r="C11">
        <v>2</v>
      </c>
      <c r="D11">
        <v>16</v>
      </c>
      <c r="E11" t="s">
        <v>384</v>
      </c>
      <c r="H11">
        <v>0</v>
      </c>
      <c r="I11" t="s">
        <v>173</v>
      </c>
      <c r="J11" t="s">
        <v>173</v>
      </c>
      <c r="K11">
        <v>22</v>
      </c>
      <c r="L11" t="s">
        <v>174</v>
      </c>
      <c r="M11" t="s">
        <v>160</v>
      </c>
      <c r="N11">
        <v>0</v>
      </c>
      <c r="O11">
        <v>250</v>
      </c>
      <c r="P11">
        <v>0</v>
      </c>
      <c r="Q11">
        <v>0</v>
      </c>
    </row>
    <row r="12" spans="1:17" x14ac:dyDescent="0.25">
      <c r="A12" t="s">
        <v>382</v>
      </c>
      <c r="B12">
        <v>2022</v>
      </c>
      <c r="C12">
        <v>2</v>
      </c>
      <c r="D12">
        <v>16</v>
      </c>
      <c r="E12" t="s">
        <v>384</v>
      </c>
      <c r="H12">
        <v>0</v>
      </c>
      <c r="I12" t="s">
        <v>141</v>
      </c>
      <c r="J12" t="s">
        <v>141</v>
      </c>
      <c r="K12">
        <v>22</v>
      </c>
      <c r="L12" t="s">
        <v>158</v>
      </c>
      <c r="M12" t="s">
        <v>160</v>
      </c>
      <c r="N12">
        <v>0</v>
      </c>
      <c r="O12">
        <v>0</v>
      </c>
      <c r="P12">
        <v>250</v>
      </c>
      <c r="Q12">
        <v>0</v>
      </c>
    </row>
    <row r="13" spans="1:17" x14ac:dyDescent="0.25">
      <c r="A13" t="s">
        <v>385</v>
      </c>
      <c r="B13">
        <v>2024</v>
      </c>
      <c r="C13">
        <v>9</v>
      </c>
      <c r="D13">
        <v>23</v>
      </c>
      <c r="E13" t="s">
        <v>394</v>
      </c>
      <c r="I13" t="s">
        <v>141</v>
      </c>
      <c r="M13" t="s">
        <v>157</v>
      </c>
      <c r="N13">
        <v>0</v>
      </c>
      <c r="O13">
        <v>0</v>
      </c>
      <c r="P13">
        <v>0</v>
      </c>
      <c r="Q13">
        <v>200</v>
      </c>
    </row>
    <row r="14" spans="1:17" x14ac:dyDescent="0.25">
      <c r="A14" t="s">
        <v>385</v>
      </c>
      <c r="B14">
        <v>2023</v>
      </c>
      <c r="C14">
        <v>9</v>
      </c>
      <c r="D14">
        <v>18</v>
      </c>
      <c r="E14" t="s">
        <v>395</v>
      </c>
      <c r="I14" t="s">
        <v>141</v>
      </c>
      <c r="M14" t="s">
        <v>157</v>
      </c>
      <c r="N14">
        <v>0</v>
      </c>
      <c r="O14">
        <v>0</v>
      </c>
      <c r="P14">
        <v>100</v>
      </c>
      <c r="Q14">
        <v>0</v>
      </c>
    </row>
  </sheetData>
  <pageMargins left="0.7" right="0.7" top="0.75" bottom="0.75" header="0.3" footer="0.3"/>
  <pageSetup paperSize="9" orientation="portrait" verticalDpi="599" r:id="rId1"/>
  <headerFooter>
    <oddFooter>&amp;C&amp;1#&amp;"Calibri"&amp;10&amp;K000000Internal</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dimension ref="A1:Z91"/>
  <sheetViews>
    <sheetView workbookViewId="0">
      <selection activeCell="L22" sqref="L22"/>
    </sheetView>
  </sheetViews>
  <sheetFormatPr defaultColWidth="9" defaultRowHeight="15" x14ac:dyDescent="0.25"/>
  <cols>
    <col min="1" max="1" width="9" customWidth="1"/>
    <col min="2" max="5" width="16.7109375" customWidth="1"/>
    <col min="6" max="6" width="11.7109375" customWidth="1"/>
    <col min="7" max="7" width="9.85546875" customWidth="1"/>
    <col min="8" max="10" width="12.42578125" customWidth="1"/>
    <col min="11" max="11" width="15.28515625" customWidth="1"/>
    <col min="12" max="14" width="12.42578125" customWidth="1"/>
    <col min="15" max="22" width="11.140625" customWidth="1"/>
    <col min="23" max="23" width="12.28515625" customWidth="1"/>
    <col min="24" max="24" width="11.42578125" customWidth="1"/>
    <col min="25" max="25" width="10.85546875" customWidth="1"/>
    <col min="26" max="26" width="11.28515625" customWidth="1"/>
  </cols>
  <sheetData>
    <row r="1" spans="1:26" s="6" customFormat="1" x14ac:dyDescent="0.25"/>
    <row r="2" spans="1:26" s="6" customFormat="1" x14ac:dyDescent="0.25"/>
    <row r="3" spans="1:26" s="6" customFormat="1" x14ac:dyDescent="0.25">
      <c r="A3" s="45"/>
      <c r="B3" s="45"/>
    </row>
    <row r="4" spans="1:26" s="6" customFormat="1" x14ac:dyDescent="0.25"/>
    <row r="5" spans="1:26" s="6" customFormat="1" ht="25.5" customHeight="1" x14ac:dyDescent="0.25">
      <c r="A5" s="46"/>
      <c r="B5" s="47" t="s">
        <v>377</v>
      </c>
      <c r="C5" s="163" t="s">
        <v>187</v>
      </c>
      <c r="D5" s="164"/>
      <c r="E5" s="164"/>
      <c r="F5" s="165"/>
      <c r="G5" s="47" t="s">
        <v>188</v>
      </c>
      <c r="H5" s="47" t="s">
        <v>312</v>
      </c>
      <c r="I5" s="47" t="s">
        <v>338</v>
      </c>
      <c r="J5" s="47" t="s">
        <v>189</v>
      </c>
      <c r="K5" s="48" t="s">
        <v>190</v>
      </c>
      <c r="L5" s="48" t="s">
        <v>191</v>
      </c>
      <c r="M5" s="48" t="s">
        <v>192</v>
      </c>
      <c r="N5" s="48" t="s">
        <v>225</v>
      </c>
      <c r="O5" s="112" t="s">
        <v>427</v>
      </c>
      <c r="P5" s="187" t="s">
        <v>275</v>
      </c>
      <c r="Q5" s="188"/>
      <c r="R5" s="48" t="s">
        <v>276</v>
      </c>
      <c r="S5" s="187" t="s">
        <v>277</v>
      </c>
      <c r="T5" s="188"/>
      <c r="U5" s="187" t="s">
        <v>278</v>
      </c>
      <c r="V5" s="188"/>
      <c r="W5" s="187" t="s">
        <v>407</v>
      </c>
      <c r="X5" s="189"/>
      <c r="Y5" s="187" t="s">
        <v>408</v>
      </c>
      <c r="Z5" s="189"/>
    </row>
    <row r="6" spans="1:26" s="6" customFormat="1" ht="15" customHeight="1" x14ac:dyDescent="0.25">
      <c r="A6" s="49"/>
      <c r="B6" s="50" t="s">
        <v>193</v>
      </c>
      <c r="C6" s="50" t="s">
        <v>194</v>
      </c>
      <c r="D6" s="50" t="s">
        <v>8</v>
      </c>
      <c r="E6" s="50" t="s">
        <v>9</v>
      </c>
      <c r="F6" s="50" t="s">
        <v>197</v>
      </c>
      <c r="G6" s="50" t="s">
        <v>193</v>
      </c>
      <c r="H6" s="50" t="s">
        <v>193</v>
      </c>
      <c r="I6" s="50" t="s">
        <v>193</v>
      </c>
      <c r="J6" s="50" t="s">
        <v>193</v>
      </c>
      <c r="K6" s="50" t="s">
        <v>193</v>
      </c>
      <c r="L6" s="51"/>
      <c r="M6" s="51"/>
      <c r="N6" s="51"/>
      <c r="O6" s="103" t="s">
        <v>193</v>
      </c>
      <c r="P6" s="103" t="s">
        <v>8</v>
      </c>
      <c r="Q6" s="103" t="s">
        <v>9</v>
      </c>
      <c r="R6" s="50" t="s">
        <v>8</v>
      </c>
      <c r="S6" s="103" t="s">
        <v>8</v>
      </c>
      <c r="T6" s="103" t="s">
        <v>9</v>
      </c>
      <c r="U6" s="103" t="s">
        <v>8</v>
      </c>
      <c r="V6" s="103" t="s">
        <v>9</v>
      </c>
      <c r="W6" s="103" t="s">
        <v>8</v>
      </c>
      <c r="X6" s="103" t="s">
        <v>9</v>
      </c>
      <c r="Y6" s="103" t="s">
        <v>8</v>
      </c>
      <c r="Z6" s="103" t="s">
        <v>9</v>
      </c>
    </row>
    <row r="7" spans="1:26" s="6" customFormat="1" x14ac:dyDescent="0.25">
      <c r="A7" s="52" t="s">
        <v>193</v>
      </c>
      <c r="B7" s="53">
        <v>32.289999999999992</v>
      </c>
      <c r="C7" s="53">
        <v>115.75999999999999</v>
      </c>
      <c r="D7" s="53">
        <v>-683835.63</v>
      </c>
      <c r="E7" s="53">
        <v>432272.02000000019</v>
      </c>
      <c r="F7" s="53"/>
      <c r="G7" s="53"/>
      <c r="H7" s="53"/>
      <c r="I7" s="53"/>
      <c r="J7" s="53"/>
      <c r="K7" s="53"/>
      <c r="L7" s="166"/>
      <c r="M7" s="167"/>
      <c r="N7" s="174"/>
      <c r="O7" s="53"/>
      <c r="P7" s="53"/>
      <c r="Q7" s="53"/>
      <c r="R7" s="53"/>
      <c r="S7" s="53"/>
      <c r="T7" s="53"/>
      <c r="U7" s="53"/>
      <c r="V7" s="53"/>
      <c r="W7" s="53"/>
      <c r="X7" s="53"/>
      <c r="Y7" s="53"/>
      <c r="Z7" s="53"/>
    </row>
    <row r="8" spans="1:26" s="6" customFormat="1" x14ac:dyDescent="0.25">
      <c r="A8" s="54" t="s">
        <v>34</v>
      </c>
      <c r="B8" s="53">
        <v>195.95</v>
      </c>
      <c r="C8" s="53">
        <v>97.39</v>
      </c>
      <c r="D8" s="53">
        <v>-590452.56999999995</v>
      </c>
      <c r="E8" s="53">
        <v>741136.76</v>
      </c>
      <c r="F8" s="53"/>
      <c r="G8" s="53"/>
      <c r="H8" s="53"/>
      <c r="I8" s="53"/>
      <c r="J8" s="53"/>
      <c r="K8" s="53"/>
      <c r="L8" s="168"/>
      <c r="M8" s="169"/>
      <c r="N8" s="175"/>
      <c r="O8" s="53"/>
      <c r="P8" s="53"/>
      <c r="Q8" s="53"/>
      <c r="R8" s="53"/>
      <c r="S8" s="53"/>
      <c r="T8" s="53"/>
      <c r="U8" s="53"/>
      <c r="V8" s="53"/>
      <c r="W8" s="53"/>
      <c r="X8" s="53"/>
      <c r="Y8" s="53"/>
      <c r="Z8" s="53"/>
    </row>
    <row r="9" spans="1:26" s="6" customFormat="1" x14ac:dyDescent="0.25">
      <c r="A9" s="54" t="s">
        <v>198</v>
      </c>
      <c r="B9" s="53">
        <v>-526.72</v>
      </c>
      <c r="C9" s="53">
        <v>98.04000000000002</v>
      </c>
      <c r="D9" s="53">
        <v>-444578.38999999996</v>
      </c>
      <c r="E9" s="53">
        <v>783531.66999999993</v>
      </c>
      <c r="F9" s="53"/>
      <c r="G9" s="53"/>
      <c r="H9" s="53"/>
      <c r="I9" s="53"/>
      <c r="J9" s="53"/>
      <c r="K9" s="53"/>
      <c r="L9" s="168"/>
      <c r="M9" s="169"/>
      <c r="N9" s="175"/>
      <c r="O9" s="53"/>
      <c r="P9" s="53"/>
      <c r="Q9" s="53"/>
      <c r="R9" s="53"/>
      <c r="S9" s="53"/>
      <c r="T9" s="53"/>
      <c r="U9" s="53"/>
      <c r="V9" s="53"/>
      <c r="W9" s="53"/>
      <c r="X9" s="53"/>
      <c r="Y9" s="53"/>
      <c r="Z9" s="53"/>
    </row>
    <row r="10" spans="1:26" s="6" customFormat="1" x14ac:dyDescent="0.25">
      <c r="A10" s="54" t="s">
        <v>199</v>
      </c>
      <c r="B10" s="53">
        <v>638.30000000000007</v>
      </c>
      <c r="C10" s="53">
        <v>128.96</v>
      </c>
      <c r="D10" s="53">
        <v>-503892.07</v>
      </c>
      <c r="E10" s="53">
        <v>383034.15000000014</v>
      </c>
      <c r="F10" s="53"/>
      <c r="G10" s="53"/>
      <c r="H10" s="53"/>
      <c r="I10" s="53"/>
      <c r="J10" s="53"/>
      <c r="K10" s="53"/>
      <c r="L10" s="176"/>
      <c r="M10" s="177"/>
      <c r="N10" s="178"/>
      <c r="O10" s="53"/>
      <c r="P10" s="53"/>
      <c r="Q10" s="53"/>
      <c r="R10" s="53"/>
      <c r="S10" s="53"/>
      <c r="T10" s="53"/>
      <c r="U10" s="53"/>
      <c r="V10" s="53"/>
      <c r="W10" s="53"/>
      <c r="X10" s="53"/>
      <c r="Y10" s="53"/>
      <c r="Z10" s="53"/>
    </row>
    <row r="11" spans="1:26" s="6" customFormat="1" x14ac:dyDescent="0.25">
      <c r="A11" s="54" t="s">
        <v>194</v>
      </c>
      <c r="B11" s="53">
        <v>-294.12999999999994</v>
      </c>
      <c r="C11" s="53">
        <v>137.41</v>
      </c>
      <c r="D11" s="53">
        <v>-892696.09000000008</v>
      </c>
      <c r="E11" s="53">
        <v>-1378474.84</v>
      </c>
      <c r="F11" s="53"/>
      <c r="G11" s="53"/>
      <c r="H11" s="53"/>
      <c r="I11" s="53"/>
      <c r="J11" s="53"/>
      <c r="K11" s="53"/>
      <c r="L11" s="53"/>
      <c r="M11" s="53"/>
      <c r="N11" s="53"/>
      <c r="O11" s="53"/>
      <c r="P11" s="53"/>
      <c r="Q11" s="53"/>
      <c r="R11" s="53"/>
      <c r="S11" s="53"/>
      <c r="T11" s="53"/>
      <c r="U11" s="53"/>
      <c r="V11" s="53"/>
      <c r="W11" s="53"/>
      <c r="X11" s="53"/>
      <c r="Y11" s="53"/>
      <c r="Z11" s="53"/>
    </row>
    <row r="12" spans="1:26" s="6" customFormat="1" x14ac:dyDescent="0.25">
      <c r="A12" s="54" t="s">
        <v>195</v>
      </c>
      <c r="B12" s="53">
        <v>-3241.3</v>
      </c>
      <c r="C12" s="53">
        <v>126.90000000000002</v>
      </c>
      <c r="D12" s="53">
        <v>-5771446.0200000005</v>
      </c>
      <c r="E12" s="53">
        <v>-825389.63</v>
      </c>
      <c r="F12" s="53"/>
      <c r="G12" s="53"/>
      <c r="H12" s="53"/>
      <c r="I12" s="53"/>
      <c r="J12" s="53"/>
      <c r="K12" s="53"/>
      <c r="L12" s="166"/>
      <c r="M12" s="167"/>
      <c r="N12" s="174"/>
      <c r="O12" s="53"/>
      <c r="P12" s="53"/>
      <c r="Q12" s="53"/>
      <c r="R12" s="53"/>
      <c r="S12" s="53"/>
      <c r="T12" s="53"/>
      <c r="U12" s="53"/>
      <c r="V12" s="53"/>
      <c r="W12" s="53"/>
      <c r="X12" s="53"/>
      <c r="Y12" s="53"/>
      <c r="Z12" s="53"/>
    </row>
    <row r="13" spans="1:26" s="6" customFormat="1" x14ac:dyDescent="0.25">
      <c r="A13" s="54" t="s">
        <v>8</v>
      </c>
      <c r="B13" s="53">
        <v>-16064.14</v>
      </c>
      <c r="C13" s="53">
        <v>110.19000000000001</v>
      </c>
      <c r="D13" s="53">
        <v>-19842919.629999999</v>
      </c>
      <c r="E13" s="53">
        <v>-238167.57</v>
      </c>
      <c r="F13" s="53"/>
      <c r="G13" s="53"/>
      <c r="H13" s="53"/>
      <c r="I13" s="53"/>
      <c r="J13" s="53"/>
      <c r="K13" s="53"/>
      <c r="L13" s="168"/>
      <c r="M13" s="169"/>
      <c r="N13" s="175"/>
      <c r="O13" s="53"/>
      <c r="P13" s="53"/>
      <c r="Q13" s="53"/>
      <c r="R13" s="53"/>
      <c r="S13" s="53"/>
      <c r="T13" s="53"/>
      <c r="U13" s="53"/>
      <c r="V13" s="53"/>
      <c r="W13" s="53"/>
      <c r="X13" s="53"/>
      <c r="Y13" s="53"/>
      <c r="Z13" s="53"/>
    </row>
    <row r="14" spans="1:26" s="6" customFormat="1" x14ac:dyDescent="0.25">
      <c r="A14" s="54" t="s">
        <v>36</v>
      </c>
      <c r="B14" s="53">
        <v>-52915.100000000028</v>
      </c>
      <c r="C14" s="53">
        <v>115.92</v>
      </c>
      <c r="D14" s="53">
        <v>2311743.3000000003</v>
      </c>
      <c r="E14" s="53">
        <v>-26035.19</v>
      </c>
      <c r="F14" s="53"/>
      <c r="G14" s="53"/>
      <c r="H14" s="53"/>
      <c r="I14" s="53"/>
      <c r="J14" s="53"/>
      <c r="K14" s="53"/>
      <c r="L14" s="168"/>
      <c r="M14" s="169"/>
      <c r="N14" s="175"/>
      <c r="O14" s="53"/>
      <c r="P14" s="53"/>
      <c r="Q14" s="53"/>
      <c r="R14" s="53"/>
      <c r="S14" s="53"/>
      <c r="T14" s="53"/>
      <c r="U14" s="53"/>
      <c r="V14" s="53"/>
      <c r="W14" s="53"/>
      <c r="X14" s="53"/>
      <c r="Y14" s="53"/>
      <c r="Z14" s="53"/>
    </row>
    <row r="15" spans="1:26" s="6" customFormat="1" x14ac:dyDescent="0.25">
      <c r="A15" s="54" t="s">
        <v>200</v>
      </c>
      <c r="B15" s="53">
        <v>-116904.02000000005</v>
      </c>
      <c r="C15" s="53">
        <v>130.96</v>
      </c>
      <c r="D15" s="53">
        <v>-3474736.96</v>
      </c>
      <c r="E15" s="53">
        <v>-548161.56000000006</v>
      </c>
      <c r="F15" s="53"/>
      <c r="G15" s="53"/>
      <c r="H15" s="53"/>
      <c r="I15" s="53"/>
      <c r="J15" s="53"/>
      <c r="K15" s="53"/>
      <c r="L15" s="168"/>
      <c r="M15" s="169"/>
      <c r="N15" s="175"/>
      <c r="O15" s="53"/>
      <c r="P15" s="53"/>
      <c r="Q15" s="53"/>
      <c r="R15" s="53"/>
      <c r="S15" s="53"/>
      <c r="T15" s="53"/>
      <c r="U15" s="53"/>
      <c r="V15" s="53"/>
      <c r="W15" s="53"/>
      <c r="X15" s="53"/>
      <c r="Y15" s="53"/>
      <c r="Z15" s="53"/>
    </row>
    <row r="16" spans="1:26" s="6" customFormat="1" x14ac:dyDescent="0.25">
      <c r="A16" s="54" t="s">
        <v>9</v>
      </c>
      <c r="B16" s="53">
        <v>104508.19</v>
      </c>
      <c r="C16" s="53">
        <v>70.010000000000005</v>
      </c>
      <c r="D16" s="53">
        <v>1843394.73</v>
      </c>
      <c r="E16" s="53">
        <v>71396904.100000083</v>
      </c>
      <c r="F16" s="53"/>
      <c r="G16" s="53"/>
      <c r="H16" s="53"/>
      <c r="I16" s="53"/>
      <c r="J16" s="53"/>
      <c r="K16" s="53"/>
      <c r="L16" s="168"/>
      <c r="M16" s="169"/>
      <c r="N16" s="175"/>
      <c r="O16" s="53"/>
      <c r="P16" s="53"/>
      <c r="Q16" s="53"/>
      <c r="R16" s="53"/>
      <c r="S16" s="53"/>
      <c r="T16" s="53"/>
      <c r="U16" s="53"/>
      <c r="V16" s="53"/>
      <c r="W16" s="53"/>
      <c r="X16" s="53"/>
      <c r="Y16" s="53"/>
      <c r="Z16" s="53"/>
    </row>
    <row r="17" spans="1:26" s="6" customFormat="1" x14ac:dyDescent="0.25">
      <c r="A17" s="54" t="s">
        <v>37</v>
      </c>
      <c r="B17" s="53">
        <v>-14663.559999999981</v>
      </c>
      <c r="C17" s="53">
        <v>356.47</v>
      </c>
      <c r="D17" s="53">
        <v>-1086590.6200000001</v>
      </c>
      <c r="E17" s="53">
        <v>-119963.51</v>
      </c>
      <c r="F17" s="53"/>
      <c r="G17" s="53"/>
      <c r="H17" s="53"/>
      <c r="I17" s="53"/>
      <c r="J17" s="53"/>
      <c r="K17" s="53"/>
      <c r="L17" s="168"/>
      <c r="M17" s="169"/>
      <c r="N17" s="175"/>
      <c r="O17" s="53"/>
      <c r="P17" s="53"/>
      <c r="Q17" s="53"/>
      <c r="R17" s="53"/>
      <c r="S17" s="53"/>
      <c r="T17" s="53"/>
      <c r="U17" s="53"/>
      <c r="V17" s="53"/>
      <c r="W17" s="53"/>
      <c r="X17" s="53"/>
      <c r="Y17" s="53"/>
      <c r="Z17" s="53"/>
    </row>
    <row r="18" spans="1:26" s="6" customFormat="1" x14ac:dyDescent="0.25">
      <c r="A18" s="54" t="s">
        <v>201</v>
      </c>
      <c r="B18" s="53">
        <v>-22333.379999999997</v>
      </c>
      <c r="C18" s="53">
        <v>215.44</v>
      </c>
      <c r="D18" s="53">
        <v>-3316197.11</v>
      </c>
      <c r="E18" s="53">
        <v>554420.2799999963</v>
      </c>
      <c r="F18" s="53"/>
      <c r="G18" s="53"/>
      <c r="H18" s="53"/>
      <c r="I18" s="53"/>
      <c r="J18" s="53"/>
      <c r="K18" s="53"/>
      <c r="L18" s="168"/>
      <c r="M18" s="169"/>
      <c r="N18" s="175"/>
      <c r="O18" s="53"/>
      <c r="P18" s="53"/>
      <c r="Q18" s="53"/>
      <c r="R18" s="53"/>
      <c r="S18" s="53"/>
      <c r="T18" s="53"/>
      <c r="U18" s="53"/>
      <c r="V18" s="53"/>
      <c r="W18" s="53"/>
      <c r="X18" s="53"/>
      <c r="Y18" s="53"/>
      <c r="Z18" s="53"/>
    </row>
    <row r="19" spans="1:26" s="6" customFormat="1" x14ac:dyDescent="0.25">
      <c r="A19" s="54" t="s">
        <v>196</v>
      </c>
      <c r="B19" s="53">
        <v>3073.3300000000008</v>
      </c>
      <c r="C19" s="53">
        <v>89.490000000000023</v>
      </c>
      <c r="D19" s="53">
        <v>1650755.7</v>
      </c>
      <c r="E19" s="53">
        <v>653147.43000000005</v>
      </c>
      <c r="F19" s="53"/>
      <c r="G19" s="53"/>
      <c r="H19" s="53"/>
      <c r="I19" s="53"/>
      <c r="J19" s="53"/>
      <c r="K19" s="53"/>
      <c r="L19" s="168"/>
      <c r="M19" s="169"/>
      <c r="N19" s="175"/>
      <c r="O19" s="53"/>
      <c r="P19" s="53"/>
      <c r="Q19" s="53"/>
      <c r="R19" s="53"/>
      <c r="S19" s="53"/>
      <c r="T19" s="53"/>
      <c r="U19" s="53"/>
      <c r="V19" s="53"/>
      <c r="W19" s="53"/>
      <c r="X19" s="53"/>
      <c r="Y19" s="53"/>
      <c r="Z19" s="53"/>
    </row>
    <row r="20" spans="1:26" s="6" customFormat="1" x14ac:dyDescent="0.25">
      <c r="A20" s="54" t="s">
        <v>38</v>
      </c>
      <c r="B20" s="53">
        <v>1486066.4099999995</v>
      </c>
      <c r="C20" s="53">
        <v>136.79</v>
      </c>
      <c r="D20" s="53">
        <v>234269.61</v>
      </c>
      <c r="E20" s="53">
        <v>2818280.1200000006</v>
      </c>
      <c r="F20" s="53"/>
      <c r="G20" s="53"/>
      <c r="H20" s="53"/>
      <c r="I20" s="53"/>
      <c r="J20" s="53"/>
      <c r="K20" s="53"/>
      <c r="L20" s="168"/>
      <c r="M20" s="169"/>
      <c r="N20" s="175"/>
      <c r="O20" s="53"/>
      <c r="P20" s="53"/>
      <c r="Q20" s="53"/>
      <c r="R20" s="53"/>
      <c r="S20" s="53"/>
      <c r="T20" s="53"/>
      <c r="U20" s="53"/>
      <c r="V20" s="53"/>
      <c r="W20" s="53"/>
      <c r="X20" s="53"/>
      <c r="Y20" s="53"/>
      <c r="Z20" s="53"/>
    </row>
    <row r="21" spans="1:26" s="6" customFormat="1" x14ac:dyDescent="0.25">
      <c r="A21" s="54" t="s">
        <v>202</v>
      </c>
      <c r="B21" s="53">
        <v>2724147.9500000016</v>
      </c>
      <c r="C21" s="53">
        <v>14.88000000000001</v>
      </c>
      <c r="D21" s="53">
        <v>23268198.430000003</v>
      </c>
      <c r="E21" s="53">
        <v>17560213.369999994</v>
      </c>
      <c r="F21" s="53"/>
      <c r="G21" s="53"/>
      <c r="H21" s="53"/>
      <c r="I21" s="53"/>
      <c r="J21" s="53"/>
      <c r="K21" s="53"/>
      <c r="L21" s="176"/>
      <c r="M21" s="177"/>
      <c r="N21" s="178"/>
      <c r="O21" s="53"/>
      <c r="P21" s="53"/>
      <c r="Q21" s="53"/>
      <c r="R21" s="53"/>
      <c r="S21" s="53"/>
      <c r="T21" s="53"/>
      <c r="U21" s="53"/>
      <c r="V21" s="53"/>
      <c r="W21" s="53"/>
      <c r="X21" s="53"/>
      <c r="Y21" s="53"/>
      <c r="Z21" s="53"/>
    </row>
    <row r="22" spans="1:26" s="6" customFormat="1" x14ac:dyDescent="0.25">
      <c r="A22" s="54" t="s">
        <v>197</v>
      </c>
      <c r="B22" s="53">
        <v>-1020866.5699999998</v>
      </c>
      <c r="C22" s="53">
        <v>121.56</v>
      </c>
      <c r="D22" s="53">
        <v>75035091.789999992</v>
      </c>
      <c r="E22" s="53">
        <v>89087682.87999998</v>
      </c>
      <c r="F22" s="53"/>
      <c r="G22" s="53"/>
      <c r="H22" s="53"/>
      <c r="I22" s="53"/>
      <c r="J22" s="53"/>
      <c r="K22" s="53"/>
      <c r="L22" s="53"/>
      <c r="M22" s="53"/>
      <c r="N22" s="53"/>
      <c r="O22" s="53"/>
      <c r="P22" s="53"/>
      <c r="Q22" s="53"/>
      <c r="R22" s="53"/>
      <c r="S22" s="53"/>
      <c r="T22" s="53"/>
      <c r="U22" s="53"/>
      <c r="V22" s="53"/>
      <c r="W22" s="53"/>
      <c r="X22" s="53"/>
      <c r="Y22" s="53"/>
      <c r="Z22" s="53"/>
    </row>
    <row r="23" spans="1:26" s="6" customFormat="1" x14ac:dyDescent="0.25">
      <c r="A23" s="54" t="s">
        <v>203</v>
      </c>
      <c r="B23" s="53">
        <v>-197274.19000000012</v>
      </c>
      <c r="C23" s="53">
        <v>107.60999999999999</v>
      </c>
      <c r="D23" s="53">
        <v>-4457815.34</v>
      </c>
      <c r="E23" s="53">
        <v>-5321594.8599999994</v>
      </c>
      <c r="F23" s="53"/>
      <c r="G23" s="53"/>
      <c r="H23" s="53"/>
      <c r="I23" s="53"/>
      <c r="J23" s="53"/>
      <c r="K23" s="53"/>
      <c r="L23" s="166"/>
      <c r="M23" s="167"/>
      <c r="N23" s="174"/>
      <c r="O23" s="53"/>
      <c r="P23" s="53"/>
      <c r="Q23" s="53"/>
      <c r="R23" s="53"/>
      <c r="S23" s="53"/>
      <c r="T23" s="53"/>
      <c r="U23" s="53"/>
      <c r="V23" s="53"/>
      <c r="W23" s="53"/>
      <c r="X23" s="53"/>
      <c r="Y23" s="53"/>
      <c r="Z23" s="53"/>
    </row>
    <row r="24" spans="1:26" s="6" customFormat="1" x14ac:dyDescent="0.25">
      <c r="A24" s="54" t="s">
        <v>204</v>
      </c>
      <c r="B24" s="53">
        <v>-764393.94000000053</v>
      </c>
      <c r="C24" s="53">
        <v>118.5</v>
      </c>
      <c r="D24" s="53">
        <v>180817.8</v>
      </c>
      <c r="E24" s="53">
        <v>-40965.72</v>
      </c>
      <c r="F24" s="53"/>
      <c r="G24" s="53"/>
      <c r="H24" s="53"/>
      <c r="I24" s="53"/>
      <c r="J24" s="53"/>
      <c r="K24" s="53"/>
      <c r="L24" s="168"/>
      <c r="M24" s="169"/>
      <c r="N24" s="175"/>
      <c r="O24" s="53"/>
      <c r="P24" s="53"/>
      <c r="Q24" s="53"/>
      <c r="R24" s="53"/>
      <c r="S24" s="53"/>
      <c r="T24" s="53"/>
      <c r="U24" s="53"/>
      <c r="V24" s="53"/>
      <c r="W24" s="53"/>
      <c r="X24" s="53"/>
      <c r="Y24" s="53"/>
      <c r="Z24" s="53"/>
    </row>
    <row r="25" spans="1:26" s="6" customFormat="1" x14ac:dyDescent="0.25">
      <c r="A25" s="54" t="s">
        <v>205</v>
      </c>
      <c r="B25" s="53">
        <v>3749712.5799999982</v>
      </c>
      <c r="C25" s="53">
        <v>119.98</v>
      </c>
      <c r="D25" s="53">
        <v>-199968.2</v>
      </c>
      <c r="E25" s="53">
        <v>155137</v>
      </c>
      <c r="F25" s="53"/>
      <c r="G25" s="53"/>
      <c r="H25" s="53"/>
      <c r="I25" s="53"/>
      <c r="J25" s="53"/>
      <c r="K25" s="53"/>
      <c r="L25" s="176"/>
      <c r="M25" s="177"/>
      <c r="N25" s="178"/>
      <c r="O25" s="53"/>
      <c r="P25" s="53"/>
      <c r="Q25" s="53"/>
      <c r="R25" s="53"/>
      <c r="S25" s="53"/>
      <c r="T25" s="53"/>
      <c r="U25" s="53"/>
      <c r="V25" s="53"/>
      <c r="W25" s="53"/>
      <c r="X25" s="53"/>
      <c r="Y25" s="53"/>
      <c r="Z25" s="53"/>
    </row>
    <row r="26" spans="1:26" s="6" customFormat="1" x14ac:dyDescent="0.25">
      <c r="A26" s="54" t="s">
        <v>206</v>
      </c>
      <c r="B26" s="53">
        <v>4504187.5</v>
      </c>
      <c r="C26" s="53">
        <v>113.78</v>
      </c>
      <c r="D26" s="53">
        <v>-661.10999999999922</v>
      </c>
      <c r="E26" s="53">
        <v>2579603.1800000002</v>
      </c>
      <c r="F26" s="53"/>
      <c r="G26" s="53"/>
      <c r="H26" s="53"/>
      <c r="I26" s="53"/>
      <c r="J26" s="53"/>
      <c r="K26" s="53"/>
      <c r="L26" s="53"/>
      <c r="M26" s="53"/>
      <c r="N26" s="53"/>
      <c r="O26" s="53"/>
      <c r="P26" s="53"/>
      <c r="Q26" s="53"/>
      <c r="R26" s="53"/>
      <c r="S26" s="53"/>
      <c r="T26" s="53"/>
      <c r="U26" s="53"/>
      <c r="V26" s="53"/>
      <c r="W26" s="53"/>
      <c r="X26" s="53"/>
      <c r="Y26" s="53"/>
      <c r="Z26" s="53"/>
    </row>
    <row r="27" spans="1:26" s="6" customFormat="1" x14ac:dyDescent="0.25">
      <c r="A27" s="54" t="s">
        <v>207</v>
      </c>
      <c r="B27" s="53">
        <v>-409937.2699999999</v>
      </c>
      <c r="C27" s="53">
        <v>183.86</v>
      </c>
      <c r="D27" s="53">
        <v>-1739.48</v>
      </c>
      <c r="E27" s="53">
        <v>-386590.76</v>
      </c>
      <c r="F27" s="53"/>
      <c r="G27" s="53"/>
      <c r="H27" s="53"/>
      <c r="I27" s="53"/>
      <c r="J27" s="53"/>
      <c r="K27" s="53"/>
      <c r="L27" s="53"/>
      <c r="M27" s="53"/>
      <c r="N27" s="53"/>
      <c r="O27" s="53"/>
      <c r="P27" s="53"/>
      <c r="Q27" s="53"/>
      <c r="R27" s="53"/>
      <c r="S27" s="53"/>
      <c r="T27" s="53"/>
      <c r="U27" s="53"/>
      <c r="V27" s="53"/>
      <c r="W27" s="53"/>
      <c r="X27" s="53"/>
      <c r="Y27" s="53"/>
      <c r="Z27" s="53"/>
    </row>
    <row r="28" spans="1:26" s="6" customFormat="1" x14ac:dyDescent="0.25">
      <c r="A28" s="54" t="s">
        <v>208</v>
      </c>
      <c r="B28" s="53">
        <v>2451228.6500000008</v>
      </c>
      <c r="C28" s="53">
        <v>1761.86</v>
      </c>
      <c r="D28" s="53">
        <v>-5380.6500000000005</v>
      </c>
      <c r="E28" s="53">
        <v>-5424106.0200000079</v>
      </c>
      <c r="F28" s="53"/>
      <c r="G28" s="53"/>
      <c r="H28" s="53"/>
      <c r="I28" s="53"/>
      <c r="J28" s="53"/>
      <c r="K28" s="53"/>
      <c r="L28" s="53"/>
      <c r="M28" s="53"/>
      <c r="N28" s="53"/>
      <c r="O28" s="53"/>
      <c r="P28" s="53"/>
      <c r="Q28" s="53"/>
      <c r="R28" s="53"/>
      <c r="S28" s="53"/>
      <c r="T28" s="53"/>
      <c r="U28" s="53"/>
      <c r="V28" s="53"/>
      <c r="W28" s="53"/>
      <c r="X28" s="53"/>
      <c r="Y28" s="53"/>
      <c r="Z28" s="53"/>
    </row>
    <row r="29" spans="1:26" s="6" customFormat="1" x14ac:dyDescent="0.25">
      <c r="A29" s="54" t="s">
        <v>209</v>
      </c>
      <c r="B29" s="53">
        <v>5393678.2800000003</v>
      </c>
      <c r="C29" s="53">
        <v>-43.860000000000007</v>
      </c>
      <c r="D29" s="53">
        <v>-9458.880000000001</v>
      </c>
      <c r="E29" s="53">
        <v>-9156265.7199999914</v>
      </c>
      <c r="F29" s="53"/>
      <c r="G29" s="53"/>
      <c r="H29" s="53"/>
      <c r="I29" s="53"/>
      <c r="J29" s="53"/>
      <c r="K29" s="53"/>
      <c r="L29" s="53"/>
      <c r="M29" s="53"/>
      <c r="N29" s="53"/>
      <c r="O29" s="53"/>
      <c r="P29" s="53"/>
      <c r="Q29" s="53"/>
      <c r="R29" s="53"/>
      <c r="S29" s="53"/>
      <c r="T29" s="53"/>
      <c r="U29" s="53"/>
      <c r="V29" s="53"/>
      <c r="W29" s="53"/>
      <c r="X29" s="53"/>
      <c r="Y29" s="53"/>
      <c r="Z29" s="53"/>
    </row>
    <row r="30" spans="1:26" s="6" customFormat="1" x14ac:dyDescent="0.25">
      <c r="A30" s="54" t="s">
        <v>210</v>
      </c>
      <c r="B30" s="53">
        <v>8738753.3699999973</v>
      </c>
      <c r="C30" s="53">
        <v>161.82</v>
      </c>
      <c r="D30" s="53">
        <v>-1141.98</v>
      </c>
      <c r="E30" s="53">
        <v>-14800.84</v>
      </c>
      <c r="F30" s="53"/>
      <c r="G30" s="53"/>
      <c r="H30" s="53"/>
      <c r="I30" s="53"/>
      <c r="J30" s="53"/>
      <c r="K30" s="53"/>
      <c r="L30" s="53"/>
      <c r="M30" s="53"/>
      <c r="N30" s="53"/>
      <c r="O30" s="53"/>
      <c r="P30" s="53"/>
      <c r="Q30" s="53"/>
      <c r="R30" s="53"/>
      <c r="S30" s="53"/>
      <c r="T30" s="53"/>
      <c r="U30" s="53"/>
      <c r="V30" s="53"/>
      <c r="W30" s="53"/>
      <c r="X30" s="53"/>
      <c r="Y30" s="53"/>
      <c r="Z30" s="53"/>
    </row>
    <row r="31" spans="1:26" s="6" customFormat="1" x14ac:dyDescent="0.25">
      <c r="A31" s="54" t="s">
        <v>211</v>
      </c>
      <c r="B31" s="53">
        <v>12364093.470000001</v>
      </c>
      <c r="C31" s="53"/>
      <c r="D31" s="53">
        <v>-1397.6899999999998</v>
      </c>
      <c r="E31" s="53">
        <v>-18197892.210000001</v>
      </c>
      <c r="F31" s="53"/>
      <c r="G31" s="53"/>
      <c r="H31" s="53"/>
      <c r="I31" s="53"/>
      <c r="J31" s="53"/>
      <c r="K31" s="53"/>
      <c r="L31" s="53"/>
      <c r="M31" s="53"/>
      <c r="N31" s="53"/>
      <c r="O31" s="53"/>
      <c r="P31" s="53"/>
      <c r="Q31" s="53"/>
      <c r="R31" s="53"/>
      <c r="S31" s="53"/>
      <c r="T31" s="53"/>
      <c r="U31" s="53"/>
      <c r="V31" s="53"/>
      <c r="W31" s="53"/>
      <c r="X31" s="53"/>
      <c r="Y31" s="53"/>
      <c r="Z31" s="53"/>
    </row>
    <row r="32" spans="1:26" s="6" customFormat="1" x14ac:dyDescent="0.25">
      <c r="A32" s="54" t="s">
        <v>212</v>
      </c>
      <c r="B32" s="53">
        <v>15841867.609999998</v>
      </c>
      <c r="C32" s="53"/>
      <c r="D32" s="53">
        <v>51.47</v>
      </c>
      <c r="E32" s="53">
        <v>-205916.01</v>
      </c>
      <c r="F32" s="53"/>
      <c r="G32" s="53"/>
      <c r="H32" s="53"/>
      <c r="I32" s="53"/>
      <c r="J32" s="53"/>
      <c r="K32" s="53"/>
      <c r="L32" s="53"/>
      <c r="M32" s="53"/>
      <c r="N32" s="53"/>
      <c r="O32" s="53"/>
      <c r="P32" s="53"/>
      <c r="Q32" s="53"/>
      <c r="R32" s="53"/>
      <c r="S32" s="53"/>
      <c r="T32" s="53"/>
      <c r="U32" s="53"/>
      <c r="V32" s="53"/>
      <c r="W32" s="53"/>
      <c r="X32" s="53"/>
      <c r="Y32" s="53"/>
      <c r="Z32" s="53"/>
    </row>
    <row r="33" spans="1:26" s="6" customFormat="1" x14ac:dyDescent="0.25">
      <c r="A33" s="54" t="s">
        <v>213</v>
      </c>
      <c r="B33" s="53">
        <v>19201024.75999999</v>
      </c>
      <c r="C33" s="53"/>
      <c r="D33" s="53">
        <v>41.68</v>
      </c>
      <c r="E33" s="53">
        <v>-882455.15</v>
      </c>
      <c r="F33" s="53"/>
      <c r="G33" s="53"/>
      <c r="H33" s="53"/>
      <c r="I33" s="53"/>
      <c r="J33" s="53"/>
      <c r="K33" s="53"/>
      <c r="L33" s="53"/>
      <c r="M33" s="53"/>
      <c r="N33" s="53"/>
      <c r="O33" s="53"/>
      <c r="P33" s="53"/>
      <c r="Q33" s="53"/>
      <c r="R33" s="53"/>
      <c r="S33" s="53"/>
      <c r="T33" s="53"/>
      <c r="U33" s="53"/>
      <c r="V33" s="53"/>
      <c r="W33" s="53"/>
      <c r="X33" s="53"/>
      <c r="Y33" s="53"/>
      <c r="Z33" s="53"/>
    </row>
    <row r="34" spans="1:26" s="6" customFormat="1" x14ac:dyDescent="0.25">
      <c r="A34" s="54" t="s">
        <v>214</v>
      </c>
      <c r="B34" s="53">
        <v>14469495.910000008</v>
      </c>
      <c r="C34" s="53"/>
      <c r="D34" s="53">
        <v>-850.61</v>
      </c>
      <c r="E34" s="53">
        <v>-947062.13</v>
      </c>
      <c r="F34" s="53"/>
      <c r="G34" s="53"/>
      <c r="H34" s="53"/>
      <c r="I34" s="53"/>
      <c r="J34" s="53"/>
      <c r="K34" s="53"/>
      <c r="L34" s="53"/>
      <c r="M34" s="53"/>
      <c r="N34" s="53"/>
      <c r="O34" s="53"/>
      <c r="P34" s="53"/>
      <c r="Q34" s="53"/>
      <c r="R34" s="53"/>
      <c r="S34" s="53"/>
      <c r="T34" s="53"/>
      <c r="U34" s="53"/>
      <c r="V34" s="53"/>
      <c r="W34" s="53"/>
      <c r="X34" s="53"/>
      <c r="Y34" s="53"/>
      <c r="Z34" s="53"/>
    </row>
    <row r="35" spans="1:26" s="6" customFormat="1" x14ac:dyDescent="0.25">
      <c r="A35" s="54" t="s">
        <v>215</v>
      </c>
      <c r="B35" s="53">
        <v>-2128033.6800000002</v>
      </c>
      <c r="C35" s="53"/>
      <c r="D35" s="53">
        <v>82.02</v>
      </c>
      <c r="E35" s="53">
        <v>7497700.4699999979</v>
      </c>
      <c r="F35" s="53"/>
      <c r="G35" s="53"/>
      <c r="H35" s="53"/>
      <c r="I35" s="53"/>
      <c r="J35" s="53"/>
      <c r="K35" s="53"/>
      <c r="L35" s="181"/>
      <c r="M35" s="182"/>
      <c r="N35" s="183"/>
      <c r="O35" s="53"/>
      <c r="P35" s="53"/>
      <c r="Q35" s="53"/>
      <c r="R35" s="53"/>
      <c r="S35" s="53"/>
      <c r="T35" s="53"/>
      <c r="U35" s="53"/>
      <c r="V35" s="53"/>
      <c r="W35" s="53"/>
      <c r="X35" s="53"/>
      <c r="Y35" s="53"/>
      <c r="Z35" s="53"/>
    </row>
    <row r="36" spans="1:26" s="6" customFormat="1" x14ac:dyDescent="0.25">
      <c r="A36" s="54" t="s">
        <v>216</v>
      </c>
      <c r="B36" s="53">
        <v>585825.43999999983</v>
      </c>
      <c r="C36" s="53"/>
      <c r="D36" s="53">
        <v>21.759999999999998</v>
      </c>
      <c r="E36" s="53">
        <v>-20387.32</v>
      </c>
      <c r="F36" s="53"/>
      <c r="G36" s="53"/>
      <c r="H36" s="53"/>
      <c r="I36" s="53"/>
      <c r="J36" s="53"/>
      <c r="K36" s="53"/>
      <c r="L36" s="53"/>
      <c r="M36" s="53"/>
      <c r="N36" s="53"/>
      <c r="O36" s="184"/>
      <c r="P36" s="53"/>
      <c r="Q36" s="53"/>
      <c r="R36" s="53"/>
      <c r="S36" s="53"/>
      <c r="T36" s="53"/>
      <c r="U36" s="53"/>
      <c r="V36" s="53"/>
      <c r="W36" s="53"/>
      <c r="X36" s="53"/>
      <c r="Y36" s="53"/>
      <c r="Z36" s="53"/>
    </row>
    <row r="37" spans="1:26" s="6" customFormat="1" x14ac:dyDescent="0.25">
      <c r="A37" s="54" t="s">
        <v>217</v>
      </c>
      <c r="B37" s="53">
        <v>13090.18</v>
      </c>
      <c r="C37" s="53"/>
      <c r="D37" s="53">
        <v>-1089.51</v>
      </c>
      <c r="E37" s="53">
        <v>-11402.23000000002</v>
      </c>
      <c r="F37" s="53"/>
      <c r="G37" s="53"/>
      <c r="H37" s="53"/>
      <c r="I37" s="53"/>
      <c r="J37" s="53"/>
      <c r="K37" s="53"/>
      <c r="L37" s="53"/>
      <c r="M37" s="53"/>
      <c r="N37" s="53"/>
      <c r="O37" s="185"/>
      <c r="P37" s="53"/>
      <c r="Q37" s="53"/>
      <c r="R37" s="53"/>
      <c r="S37" s="53"/>
      <c r="T37" s="53"/>
      <c r="U37" s="53"/>
      <c r="V37" s="53"/>
      <c r="W37" s="53"/>
      <c r="X37" s="53"/>
      <c r="Y37" s="53"/>
      <c r="Z37" s="53"/>
    </row>
    <row r="38" spans="1:26" s="6" customFormat="1" x14ac:dyDescent="0.25">
      <c r="A38" s="54" t="s">
        <v>218</v>
      </c>
      <c r="B38" s="53">
        <v>5697.32</v>
      </c>
      <c r="C38" s="53"/>
      <c r="D38" s="53">
        <v>81.78</v>
      </c>
      <c r="E38" s="53">
        <v>-6881.06</v>
      </c>
      <c r="F38" s="53"/>
      <c r="G38" s="53"/>
      <c r="H38" s="53"/>
      <c r="I38" s="53"/>
      <c r="J38" s="53"/>
      <c r="K38" s="53"/>
      <c r="L38" s="53"/>
      <c r="M38" s="53"/>
      <c r="N38" s="53"/>
      <c r="O38" s="185"/>
      <c r="P38" s="53"/>
      <c r="Q38" s="53"/>
      <c r="R38" s="53"/>
      <c r="S38" s="53"/>
      <c r="T38" s="53"/>
      <c r="U38" s="170"/>
      <c r="V38" s="170"/>
      <c r="W38" s="170"/>
      <c r="X38" s="170"/>
      <c r="Y38" s="170"/>
      <c r="Z38" s="171"/>
    </row>
    <row r="39" spans="1:26" s="6" customFormat="1" x14ac:dyDescent="0.25">
      <c r="A39" s="54" t="s">
        <v>219</v>
      </c>
      <c r="B39" s="53">
        <v>5713.79</v>
      </c>
      <c r="C39" s="53"/>
      <c r="D39" s="53">
        <v>46.45</v>
      </c>
      <c r="E39" s="53">
        <v>-7294.45</v>
      </c>
      <c r="F39" s="53"/>
      <c r="G39" s="53"/>
      <c r="H39" s="53"/>
      <c r="I39" s="53"/>
      <c r="J39" s="53"/>
      <c r="K39" s="53"/>
      <c r="L39" s="53"/>
      <c r="M39" s="53"/>
      <c r="N39" s="53"/>
      <c r="O39" s="185"/>
      <c r="P39" s="53"/>
      <c r="Q39" s="53"/>
      <c r="R39" s="53"/>
      <c r="S39" s="53"/>
      <c r="T39" s="53"/>
      <c r="U39" s="170"/>
      <c r="V39" s="170"/>
      <c r="W39" s="170"/>
      <c r="X39" s="170"/>
      <c r="Y39" s="170"/>
      <c r="Z39" s="171"/>
    </row>
    <row r="40" spans="1:26" s="6" customFormat="1" x14ac:dyDescent="0.25">
      <c r="A40" s="54" t="s">
        <v>220</v>
      </c>
      <c r="B40" s="53">
        <v>2961.07</v>
      </c>
      <c r="C40" s="53"/>
      <c r="D40" s="53"/>
      <c r="E40" s="53">
        <v>-61835.28</v>
      </c>
      <c r="F40" s="53"/>
      <c r="G40" s="53"/>
      <c r="H40" s="53"/>
      <c r="I40" s="53"/>
      <c r="J40" s="53"/>
      <c r="K40" s="53"/>
      <c r="L40" s="53"/>
      <c r="M40" s="53"/>
      <c r="N40" s="53"/>
      <c r="O40" s="186"/>
      <c r="P40" s="53"/>
      <c r="Q40" s="53"/>
      <c r="R40" s="53"/>
      <c r="S40" s="53"/>
      <c r="T40" s="53"/>
      <c r="U40" s="170"/>
      <c r="V40" s="170"/>
      <c r="W40" s="170"/>
      <c r="X40" s="170"/>
      <c r="Y40" s="170"/>
      <c r="Z40" s="171"/>
    </row>
    <row r="41" spans="1:26" s="6" customFormat="1" x14ac:dyDescent="0.25">
      <c r="A41" s="54" t="s">
        <v>221</v>
      </c>
      <c r="B41" s="53">
        <v>-24.16</v>
      </c>
      <c r="C41" s="53"/>
      <c r="D41" s="53"/>
      <c r="E41" s="53">
        <v>232.51999999999998</v>
      </c>
      <c r="F41" s="53"/>
      <c r="G41" s="53"/>
      <c r="H41" s="179"/>
      <c r="I41" s="53"/>
      <c r="J41" s="53"/>
      <c r="K41" s="105"/>
      <c r="L41" s="53"/>
      <c r="M41" s="106"/>
      <c r="N41" s="53"/>
      <c r="O41" s="109"/>
      <c r="P41" s="166"/>
      <c r="Q41" s="167"/>
      <c r="R41" s="167"/>
      <c r="S41" s="167"/>
      <c r="T41" s="167"/>
      <c r="U41" s="170"/>
      <c r="V41" s="170"/>
      <c r="W41" s="170"/>
      <c r="X41" s="170"/>
      <c r="Y41" s="170"/>
      <c r="Z41" s="171"/>
    </row>
    <row r="42" spans="1:26" s="6" customFormat="1" x14ac:dyDescent="0.25">
      <c r="A42" s="55" t="s">
        <v>222</v>
      </c>
      <c r="B42" s="53">
        <v>-3457.74</v>
      </c>
      <c r="C42" s="53"/>
      <c r="D42" s="53"/>
      <c r="E42" s="53">
        <v>5242.97</v>
      </c>
      <c r="F42" s="53"/>
      <c r="G42" s="53"/>
      <c r="H42" s="180"/>
      <c r="I42" s="53"/>
      <c r="J42" s="53"/>
      <c r="K42" s="107"/>
      <c r="L42" s="53"/>
      <c r="M42" s="108"/>
      <c r="N42" s="53"/>
      <c r="O42" s="110"/>
      <c r="P42" s="168"/>
      <c r="Q42" s="169"/>
      <c r="R42" s="169"/>
      <c r="S42" s="169"/>
      <c r="T42" s="169"/>
      <c r="U42" s="170"/>
      <c r="V42" s="170"/>
      <c r="W42" s="170"/>
      <c r="X42" s="170"/>
      <c r="Y42" s="170"/>
      <c r="Z42" s="171"/>
    </row>
    <row r="43" spans="1:26" s="6" customFormat="1" x14ac:dyDescent="0.25">
      <c r="A43" s="55" t="s">
        <v>423</v>
      </c>
      <c r="B43" s="53"/>
      <c r="C43" s="53"/>
      <c r="D43" s="53"/>
      <c r="E43" s="53"/>
      <c r="F43" s="53"/>
      <c r="G43" s="172"/>
      <c r="H43" s="173"/>
      <c r="I43" s="173"/>
      <c r="J43" s="173"/>
      <c r="K43" s="173"/>
      <c r="L43" s="173"/>
      <c r="M43" s="173"/>
      <c r="N43" s="173"/>
      <c r="O43" s="173"/>
      <c r="P43" s="173"/>
      <c r="Q43" s="173"/>
      <c r="R43" s="173"/>
      <c r="S43" s="173"/>
      <c r="T43" s="173"/>
      <c r="U43" s="173"/>
      <c r="V43" s="173"/>
      <c r="W43" s="173"/>
      <c r="X43" s="173"/>
      <c r="Y43" s="173"/>
      <c r="Z43" s="173"/>
    </row>
    <row r="44" spans="1:26" s="6" customFormat="1" x14ac:dyDescent="0.25"/>
    <row r="45" spans="1:26" s="6" customFormat="1" x14ac:dyDescent="0.25"/>
    <row r="46" spans="1:26" s="6" customFormat="1" x14ac:dyDescent="0.25"/>
    <row r="47" spans="1:26" s="6" customFormat="1" x14ac:dyDescent="0.25"/>
    <row r="48" spans="1:26" s="6" customFormat="1" x14ac:dyDescent="0.25"/>
    <row r="49" s="6" customFormat="1" x14ac:dyDescent="0.25"/>
    <row r="50" s="6" customFormat="1" x14ac:dyDescent="0.25"/>
    <row r="51" s="6" customFormat="1" x14ac:dyDescent="0.25"/>
    <row r="52" s="6" customFormat="1" x14ac:dyDescent="0.25"/>
    <row r="53" s="6" customFormat="1" x14ac:dyDescent="0.25"/>
    <row r="54" s="6" customFormat="1" x14ac:dyDescent="0.25"/>
    <row r="55" s="6" customFormat="1" x14ac:dyDescent="0.25"/>
    <row r="56" s="6" customFormat="1" x14ac:dyDescent="0.25"/>
    <row r="57" s="6" customFormat="1" x14ac:dyDescent="0.25"/>
    <row r="58" s="6" customFormat="1" x14ac:dyDescent="0.25"/>
    <row r="59" s="6" customFormat="1" x14ac:dyDescent="0.25"/>
    <row r="60" s="6" customFormat="1" x14ac:dyDescent="0.25"/>
    <row r="61" s="6" customFormat="1" x14ac:dyDescent="0.25"/>
    <row r="62" s="6" customFormat="1" x14ac:dyDescent="0.25"/>
    <row r="63" s="6" customFormat="1" x14ac:dyDescent="0.25"/>
    <row r="64" s="6" customFormat="1" x14ac:dyDescent="0.25"/>
    <row r="65" s="6" customFormat="1" x14ac:dyDescent="0.25"/>
    <row r="66" s="6" customFormat="1" x14ac:dyDescent="0.25"/>
    <row r="67" s="6" customFormat="1" x14ac:dyDescent="0.25"/>
    <row r="68" s="6" customFormat="1" x14ac:dyDescent="0.25"/>
    <row r="69" s="6" customFormat="1" x14ac:dyDescent="0.25"/>
    <row r="70" s="6" customFormat="1" x14ac:dyDescent="0.25"/>
    <row r="71" s="6" customFormat="1" x14ac:dyDescent="0.25"/>
    <row r="72" s="6" customFormat="1" x14ac:dyDescent="0.25"/>
    <row r="73" s="6" customFormat="1" x14ac:dyDescent="0.25"/>
    <row r="74" s="6" customFormat="1" x14ac:dyDescent="0.25"/>
    <row r="75" s="6" customFormat="1" x14ac:dyDescent="0.25"/>
    <row r="76" s="6" customFormat="1" x14ac:dyDescent="0.25"/>
    <row r="77" s="6" customFormat="1" x14ac:dyDescent="0.25"/>
    <row r="78" s="6" customFormat="1" x14ac:dyDescent="0.25"/>
    <row r="79" s="6" customFormat="1" x14ac:dyDescent="0.25"/>
    <row r="80" s="6" customFormat="1" x14ac:dyDescent="0.25"/>
    <row r="81" spans="1:17" s="6" customFormat="1" x14ac:dyDescent="0.25"/>
    <row r="82" spans="1:17" s="6" customFormat="1" x14ac:dyDescent="0.25"/>
    <row r="83" spans="1:17" s="6" customFormat="1" x14ac:dyDescent="0.25"/>
    <row r="84" spans="1:17" s="6" customFormat="1" x14ac:dyDescent="0.25"/>
    <row r="85" spans="1:17" s="6" customFormat="1" x14ac:dyDescent="0.25"/>
    <row r="86" spans="1:17" s="6" customFormat="1" x14ac:dyDescent="0.25"/>
    <row r="87" spans="1:17" s="6" customFormat="1" x14ac:dyDescent="0.25"/>
    <row r="88" spans="1:17" s="6" customFormat="1" x14ac:dyDescent="0.25">
      <c r="K88"/>
    </row>
    <row r="89" spans="1:17" x14ac:dyDescent="0.25">
      <c r="A89" s="56"/>
      <c r="B89" s="56"/>
      <c r="C89" s="56"/>
      <c r="D89" s="56"/>
      <c r="E89" s="56"/>
      <c r="F89" s="56"/>
      <c r="G89" s="56"/>
      <c r="H89" s="56"/>
      <c r="I89" s="56"/>
      <c r="J89" s="56"/>
      <c r="L89" s="6"/>
      <c r="M89" s="6"/>
      <c r="N89" s="6"/>
      <c r="P89" s="6"/>
      <c r="Q89" s="6"/>
    </row>
    <row r="90" spans="1:17" x14ac:dyDescent="0.25">
      <c r="A90" s="56"/>
      <c r="B90" s="56"/>
      <c r="C90" s="56"/>
      <c r="D90" s="56"/>
      <c r="E90" s="56"/>
      <c r="F90" s="56"/>
      <c r="G90" s="56"/>
      <c r="H90" s="56"/>
      <c r="I90" s="56"/>
      <c r="J90" s="56"/>
      <c r="L90" s="6"/>
      <c r="M90" s="6"/>
      <c r="N90" s="6"/>
      <c r="P90" s="6"/>
      <c r="Q90" s="6"/>
    </row>
    <row r="91" spans="1:17" x14ac:dyDescent="0.25">
      <c r="L91" s="6"/>
      <c r="M91" s="6"/>
      <c r="N91" s="6"/>
      <c r="P91" s="6"/>
      <c r="Q91" s="6"/>
    </row>
  </sheetData>
  <mergeCells count="15">
    <mergeCell ref="C5:F5"/>
    <mergeCell ref="P41:T42"/>
    <mergeCell ref="U38:Z42"/>
    <mergeCell ref="G43:Z43"/>
    <mergeCell ref="L7:N10"/>
    <mergeCell ref="L12:N21"/>
    <mergeCell ref="L23:N25"/>
    <mergeCell ref="H41:H42"/>
    <mergeCell ref="L35:N35"/>
    <mergeCell ref="O36:O40"/>
    <mergeCell ref="P5:Q5"/>
    <mergeCell ref="S5:T5"/>
    <mergeCell ref="U5:V5"/>
    <mergeCell ref="W5:X5"/>
    <mergeCell ref="Y5:Z5"/>
  </mergeCells>
  <conditionalFormatting sqref="N41:N42 P41 B39:H40 B7:H37 J41:J42 J11:N11 J36:N40 J35:L35 J7:L7 J8:K10 J22:N22 J12:L12 J13:K21 J26:N34 J23:L23 J24:K25 P35:S40 P7:V34">
    <cfRule type="expression" dxfId="21" priority="80" stopIfTrue="1">
      <formula>OR(B$4="AUD_BBSW",B$4="CAD_CDOR",B$4="CHF_LIBOR",B$4="DKK_CIBOR",B$4="EUR_EURIBOR",B$4="GBP_LIBOR",B$4="HKD_HIBOR",B$4="JPY_LIBOR",B$4="NOK_NIBOR",B$4="NZD_BKBM",B$4="PLN_WIBOR",B$4="SEK_STIBOR",B$4="USD_LIBOR",B$4="ZAR_JIBAR")</formula>
    </cfRule>
  </conditionalFormatting>
  <conditionalFormatting sqref="P41 C27:G35">
    <cfRule type="expression" dxfId="20" priority="79" stopIfTrue="1">
      <formula>C$4="CHF_TOIS"</formula>
    </cfRule>
  </conditionalFormatting>
  <conditionalFormatting sqref="C39:G40 C36:G37">
    <cfRule type="expression" dxfId="19" priority="78" stopIfTrue="1">
      <formula>OR(C$4="CHF_TOIS",C$4="DKK_CIBOR",C$4="HKD_HIBOR",C$4="NOK_NIBOR",C$4="NZD_BKBM",C$4="PLN_WIBOR",C$4="ZAR_JIBAR")</formula>
    </cfRule>
  </conditionalFormatting>
  <conditionalFormatting sqref="C39:G40 C36:G37">
    <cfRule type="expression" dxfId="18" priority="77" stopIfTrue="1">
      <formula>OR(C$4="CZK_PRIBOR",C$4="HUF_BUBOR",C$4="SGD_SOR")</formula>
    </cfRule>
  </conditionalFormatting>
  <conditionalFormatting sqref="L36:M40">
    <cfRule type="expression" dxfId="17" priority="71" stopIfTrue="1">
      <formula>OR(L$4="CZK_PRIBOR",L$4="HUF_BUBOR",L$4="SGD_SOR")</formula>
    </cfRule>
  </conditionalFormatting>
  <conditionalFormatting sqref="P41">
    <cfRule type="expression" dxfId="16" priority="34" stopIfTrue="1">
      <formula>OR(P$4="CZK_PRIBOR",P$4="HUF_BUBOR",P$4="SGD_SOR")</formula>
    </cfRule>
  </conditionalFormatting>
  <conditionalFormatting sqref="P41">
    <cfRule type="expression" dxfId="15" priority="33">
      <formula>#REF!=2</formula>
    </cfRule>
  </conditionalFormatting>
  <conditionalFormatting sqref="P41">
    <cfRule type="expression" dxfId="14" priority="29">
      <formula>#REF!=2</formula>
    </cfRule>
  </conditionalFormatting>
  <conditionalFormatting sqref="I7:I42">
    <cfRule type="expression" dxfId="13" priority="14" stopIfTrue="1">
      <formula>OR(I$4="AUD_BBSW",I$4="CAD_CDOR",I$4="CHF_LIBOR",I$4="DKK_CIBOR",I$4="EUR_EURIBOR",I$4="GBP_LIBOR",I$4="HKD_HIBOR",I$4="JPY_LIBOR",I$4="NOK_NIBOR",I$4="NZD_BKBM",I$4="PLN_WIBOR",I$4="SEK_STIBOR",I$4="USD_LIBOR",I$4="ZAR_JIBAR")</formula>
    </cfRule>
  </conditionalFormatting>
  <conditionalFormatting sqref="W7:W37">
    <cfRule type="expression" dxfId="12" priority="13" stopIfTrue="1">
      <formula>OR(W$4="AUD_BBSW",W$4="CAD_CDOR",W$4="CHF_LIBOR",W$4="DKK_CIBOR",W$4="EUR_EURIBOR",W$4="GBP_LIBOR",W$4="HKD_HIBOR",W$4="JPY_LIBOR",W$4="NOK_NIBOR",W$4="NZD_BKBM",W$4="PLN_WIBOR",W$4="SEK_STIBOR",W$4="USD_LIBOR",W$4="ZAR_JIBAR")</formula>
    </cfRule>
  </conditionalFormatting>
  <conditionalFormatting sqref="X7:X37">
    <cfRule type="expression" dxfId="11" priority="12" stopIfTrue="1">
      <formula>OR(X$4="AUD_BBSW",X$4="CAD_CDOR",X$4="CHF_LIBOR",X$4="DKK_CIBOR",X$4="EUR_EURIBOR",X$4="GBP_LIBOR",X$4="HKD_HIBOR",X$4="JPY_LIBOR",X$4="NOK_NIBOR",X$4="NZD_BKBM",X$4="PLN_WIBOR",X$4="SEK_STIBOR",X$4="USD_LIBOR",X$4="ZAR_JIBAR")</formula>
    </cfRule>
  </conditionalFormatting>
  <conditionalFormatting sqref="Y7:Y37">
    <cfRule type="expression" dxfId="10" priority="11" stopIfTrue="1">
      <formula>OR(Y$4="AUD_BBSW",Y$4="CAD_CDOR",Y$4="CHF_LIBOR",Y$4="DKK_CIBOR",Y$4="EUR_EURIBOR",Y$4="GBP_LIBOR",Y$4="HKD_HIBOR",Y$4="JPY_LIBOR",Y$4="NOK_NIBOR",Y$4="NZD_BKBM",Y$4="PLN_WIBOR",Y$4="SEK_STIBOR",Y$4="USD_LIBOR",Y$4="ZAR_JIBAR")</formula>
    </cfRule>
  </conditionalFormatting>
  <conditionalFormatting sqref="Z7:Z37">
    <cfRule type="expression" dxfId="9" priority="10" stopIfTrue="1">
      <formula>OR(Z$4="AUD_BBSW",Z$4="CAD_CDOR",Z$4="CHF_LIBOR",Z$4="DKK_CIBOR",Z$4="EUR_EURIBOR",Z$4="GBP_LIBOR",Z$4="HKD_HIBOR",Z$4="JPY_LIBOR",Z$4="NOK_NIBOR",Z$4="NZD_BKBM",Z$4="PLN_WIBOR",Z$4="SEK_STIBOR",Z$4="USD_LIBOR",Z$4="ZAR_JIBAR")</formula>
    </cfRule>
  </conditionalFormatting>
  <conditionalFormatting sqref="T35:T40">
    <cfRule type="expression" dxfId="8" priority="9" stopIfTrue="1">
      <formula>OR(T$4="AUD_BBSW",T$4="CAD_CDOR",T$4="CHF_LIBOR",T$4="DKK_CIBOR",T$4="EUR_EURIBOR",T$4="GBP_LIBOR",T$4="HKD_HIBOR",T$4="JPY_LIBOR",T$4="NOK_NIBOR",T$4="NZD_BKBM",T$4="PLN_WIBOR",T$4="SEK_STIBOR",T$4="USD_LIBOR",T$4="ZAR_JIBAR")</formula>
    </cfRule>
  </conditionalFormatting>
  <conditionalFormatting sqref="U35">
    <cfRule type="expression" dxfId="7" priority="8" stopIfTrue="1">
      <formula>OR(U$4="AUD_BBSW",U$4="CAD_CDOR",U$4="CHF_LIBOR",U$4="DKK_CIBOR",U$4="EUR_EURIBOR",U$4="GBP_LIBOR",U$4="HKD_HIBOR",U$4="JPY_LIBOR",U$4="NOK_NIBOR",U$4="NZD_BKBM",U$4="PLN_WIBOR",U$4="SEK_STIBOR",U$4="USD_LIBOR",U$4="ZAR_JIBAR")</formula>
    </cfRule>
  </conditionalFormatting>
  <conditionalFormatting sqref="V35">
    <cfRule type="expression" dxfId="6" priority="7" stopIfTrue="1">
      <formula>OR(V$4="AUD_BBSW",V$4="CAD_CDOR",V$4="CHF_LIBOR",V$4="DKK_CIBOR",V$4="EUR_EURIBOR",V$4="GBP_LIBOR",V$4="HKD_HIBOR",V$4="JPY_LIBOR",V$4="NOK_NIBOR",V$4="NZD_BKBM",V$4="PLN_WIBOR",V$4="SEK_STIBOR",V$4="USD_LIBOR",V$4="ZAR_JIBAR")</formula>
    </cfRule>
  </conditionalFormatting>
  <conditionalFormatting sqref="U36">
    <cfRule type="expression" dxfId="5" priority="6" stopIfTrue="1">
      <formula>OR(U$4="AUD_BBSW",U$4="CAD_CDOR",U$4="CHF_LIBOR",U$4="DKK_CIBOR",U$4="EUR_EURIBOR",U$4="GBP_LIBOR",U$4="HKD_HIBOR",U$4="JPY_LIBOR",U$4="NOK_NIBOR",U$4="NZD_BKBM",U$4="PLN_WIBOR",U$4="SEK_STIBOR",U$4="USD_LIBOR",U$4="ZAR_JIBAR")</formula>
    </cfRule>
  </conditionalFormatting>
  <conditionalFormatting sqref="U37">
    <cfRule type="expression" dxfId="4" priority="5" stopIfTrue="1">
      <formula>OR(U$4="AUD_BBSW",U$4="CAD_CDOR",U$4="CHF_LIBOR",U$4="DKK_CIBOR",U$4="EUR_EURIBOR",U$4="GBP_LIBOR",U$4="HKD_HIBOR",U$4="JPY_LIBOR",U$4="NOK_NIBOR",U$4="NZD_BKBM",U$4="PLN_WIBOR",U$4="SEK_STIBOR",U$4="USD_LIBOR",U$4="ZAR_JIBAR")</formula>
    </cfRule>
  </conditionalFormatting>
  <conditionalFormatting sqref="V36">
    <cfRule type="expression" dxfId="3" priority="4" stopIfTrue="1">
      <formula>OR(V$4="AUD_BBSW",V$4="CAD_CDOR",V$4="CHF_LIBOR",V$4="DKK_CIBOR",V$4="EUR_EURIBOR",V$4="GBP_LIBOR",V$4="HKD_HIBOR",V$4="JPY_LIBOR",V$4="NOK_NIBOR",V$4="NZD_BKBM",V$4="PLN_WIBOR",V$4="SEK_STIBOR",V$4="USD_LIBOR",V$4="ZAR_JIBAR")</formula>
    </cfRule>
  </conditionalFormatting>
  <conditionalFormatting sqref="V37">
    <cfRule type="expression" dxfId="2" priority="3" stopIfTrue="1">
      <formula>OR(V$4="AUD_BBSW",V$4="CAD_CDOR",V$4="CHF_LIBOR",V$4="DKK_CIBOR",V$4="EUR_EURIBOR",V$4="GBP_LIBOR",V$4="HKD_HIBOR",V$4="JPY_LIBOR",V$4="NOK_NIBOR",V$4="NZD_BKBM",V$4="PLN_WIBOR",V$4="SEK_STIBOR",V$4="USD_LIBOR",V$4="ZAR_JIBAR")</formula>
    </cfRule>
  </conditionalFormatting>
  <conditionalFormatting sqref="L41:L42">
    <cfRule type="expression" dxfId="1" priority="2" stopIfTrue="1">
      <formula>OR(L$4="AUD_BBSW",L$4="CAD_CDOR",L$4="CHF_LIBOR",L$4="DKK_CIBOR",L$4="EUR_EURIBOR",L$4="GBP_LIBOR",L$4="HKD_HIBOR",L$4="JPY_LIBOR",L$4="NOK_NIBOR",L$4="NZD_BKBM",L$4="PLN_WIBOR",L$4="SEK_STIBOR",L$4="USD_LIBOR",L$4="ZAR_JIBAR")</formula>
    </cfRule>
  </conditionalFormatting>
  <conditionalFormatting sqref="O7:O36">
    <cfRule type="expression" dxfId="0" priority="1" stopIfTrue="1">
      <formula>OR(O$4="AUD_BBSW",O$4="CAD_CDOR",O$4="CHF_LIBOR",O$4="DKK_CIBOR",O$4="EUR_EURIBOR",O$4="GBP_LIBOR",O$4="HKD_HIBOR",O$4="JPY_LIBOR",O$4="NOK_NIBOR",O$4="NZD_BKBM",O$4="PLN_WIBOR",O$4="SEK_STIBOR",O$4="USD_LIBOR",O$4="ZAR_JIBAR")</formula>
    </cfRule>
  </conditionalFormatting>
  <dataValidations count="2">
    <dataValidation type="textLength" showInputMessage="1" showErrorMessage="1" sqref="H41:H42" xr:uid="{00000000-0002-0000-1200-000000000000}">
      <formula1>0</formula1>
      <formula2>0</formula2>
    </dataValidation>
    <dataValidation type="textLength" allowBlank="1" showInputMessage="1" showErrorMessage="1" sqref="K41:K42 M41:M42" xr:uid="{00000000-0002-0000-1200-000001000000}">
      <formula1>0</formula1>
      <formula2>0</formula2>
    </dataValidation>
  </dataValidations>
  <pageMargins left="0.7" right="0.7" top="0.75" bottom="0.75" header="0.3" footer="0.3"/>
  <pageSetup paperSize="9" orientation="portrait" r:id="rId1"/>
  <headerFooter>
    <oddFooter>&amp;C&amp;1#&amp;"Calibri"&amp;10&amp;K000000Internal</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theme="9" tint="0.39997558519241921"/>
  </sheetPr>
  <dimension ref="A1:K6"/>
  <sheetViews>
    <sheetView zoomScaleNormal="100" workbookViewId="0">
      <selection activeCell="F8" sqref="F8"/>
    </sheetView>
  </sheetViews>
  <sheetFormatPr defaultColWidth="11.42578125" defaultRowHeight="15" x14ac:dyDescent="0.25"/>
  <cols>
    <col min="1" max="1" width="20.7109375" customWidth="1"/>
    <col min="2" max="2" width="18.140625" customWidth="1"/>
    <col min="3" max="3" width="14.42578125" customWidth="1"/>
    <col min="4" max="5" width="11.140625" customWidth="1"/>
    <col min="6" max="6" width="16.7109375" customWidth="1"/>
    <col min="7" max="7" width="14.140625" customWidth="1"/>
    <col min="8" max="8" width="13.5703125" customWidth="1"/>
    <col min="9" max="9" width="18.5703125" customWidth="1"/>
    <col min="10" max="10" width="47.42578125" customWidth="1"/>
  </cols>
  <sheetData>
    <row r="1" spans="1:11" ht="39.75" customHeight="1" x14ac:dyDescent="0.25">
      <c r="A1" s="77" t="s">
        <v>351</v>
      </c>
      <c r="B1" s="77"/>
      <c r="C1" s="77"/>
      <c r="D1" s="77"/>
      <c r="E1" s="77"/>
      <c r="F1" s="77"/>
      <c r="G1" s="77"/>
      <c r="H1" s="78"/>
      <c r="I1" s="77"/>
      <c r="J1" s="77"/>
    </row>
    <row r="2" spans="1:11" ht="39.75" customHeight="1" thickBot="1" x14ac:dyDescent="0.3">
      <c r="A2" s="81"/>
      <c r="B2" s="5" t="s">
        <v>28</v>
      </c>
      <c r="C2" s="5" t="s">
        <v>2</v>
      </c>
      <c r="D2" s="38" t="s">
        <v>285</v>
      </c>
      <c r="E2" s="5" t="s">
        <v>345</v>
      </c>
      <c r="F2" s="38" t="s">
        <v>346</v>
      </c>
      <c r="G2" s="5" t="s">
        <v>347</v>
      </c>
      <c r="H2" s="5" t="s">
        <v>348</v>
      </c>
      <c r="I2" s="5" t="s">
        <v>349</v>
      </c>
      <c r="J2" s="5" t="s">
        <v>350</v>
      </c>
    </row>
    <row r="3" spans="1:11" ht="150" x14ac:dyDescent="0.25">
      <c r="A3" s="71" t="s">
        <v>297</v>
      </c>
      <c r="B3" s="82" t="s">
        <v>299</v>
      </c>
      <c r="C3" s="83" t="s">
        <v>352</v>
      </c>
      <c r="D3" s="84" t="s">
        <v>301</v>
      </c>
      <c r="E3" s="84" t="s">
        <v>354</v>
      </c>
      <c r="F3" s="84" t="s">
        <v>356</v>
      </c>
      <c r="G3" s="84" t="s">
        <v>355</v>
      </c>
      <c r="H3" s="84" t="s">
        <v>357</v>
      </c>
      <c r="I3" s="84" t="s">
        <v>358</v>
      </c>
      <c r="J3" s="84" t="s">
        <v>359</v>
      </c>
      <c r="K3" s="79"/>
    </row>
    <row r="4" spans="1:11" ht="90" x14ac:dyDescent="0.25">
      <c r="A4" s="72" t="s">
        <v>48</v>
      </c>
      <c r="B4" s="85" t="s">
        <v>300</v>
      </c>
      <c r="C4" s="86" t="s">
        <v>353</v>
      </c>
      <c r="D4" s="87" t="s">
        <v>368</v>
      </c>
      <c r="E4" s="87" t="s">
        <v>298</v>
      </c>
      <c r="F4" s="87" t="s">
        <v>304</v>
      </c>
      <c r="G4" s="87" t="s">
        <v>57</v>
      </c>
      <c r="H4" s="87" t="s">
        <v>53</v>
      </c>
      <c r="I4" s="87" t="s">
        <v>53</v>
      </c>
      <c r="J4" s="87" t="s">
        <v>57</v>
      </c>
      <c r="K4" s="80"/>
    </row>
    <row r="5" spans="1:11" x14ac:dyDescent="0.25">
      <c r="A5" s="72" t="s">
        <v>47</v>
      </c>
      <c r="B5" s="85" t="s">
        <v>311</v>
      </c>
      <c r="C5" s="87" t="s">
        <v>310</v>
      </c>
      <c r="D5" s="87" t="s">
        <v>310</v>
      </c>
      <c r="E5" s="87"/>
      <c r="F5" s="87" t="s">
        <v>310</v>
      </c>
      <c r="G5" s="87" t="s">
        <v>310</v>
      </c>
      <c r="H5" s="87" t="s">
        <v>60</v>
      </c>
      <c r="I5" s="87" t="s">
        <v>60</v>
      </c>
      <c r="J5" s="87" t="s">
        <v>57</v>
      </c>
      <c r="K5" s="80"/>
    </row>
    <row r="6" spans="1:11" ht="30" x14ac:dyDescent="0.25">
      <c r="A6" s="72" t="s">
        <v>307</v>
      </c>
      <c r="B6" s="85" t="s">
        <v>306</v>
      </c>
      <c r="C6" s="87" t="s">
        <v>306</v>
      </c>
      <c r="D6" s="87" t="s">
        <v>306</v>
      </c>
      <c r="E6" s="87" t="s">
        <v>306</v>
      </c>
      <c r="F6" s="87" t="s">
        <v>306</v>
      </c>
      <c r="G6" s="87" t="s">
        <v>306</v>
      </c>
      <c r="H6" s="87" t="s">
        <v>306</v>
      </c>
      <c r="I6" s="87" t="s">
        <v>306</v>
      </c>
      <c r="J6" s="87" t="s">
        <v>306</v>
      </c>
      <c r="K6" s="80"/>
    </row>
  </sheetData>
  <pageMargins left="0.7" right="0.7" top="0.75" bottom="0.75" header="0.3" footer="0.3"/>
  <pageSetup paperSize="9" orientation="portrait" verticalDpi="599" r:id="rId1"/>
  <headerFooter>
    <oddFooter>&amp;C&amp;1#&amp;"Calibri"&amp;10&amp;K000000Internal</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8">
    <tabColor theme="9" tint="0.39997558519241921"/>
  </sheetPr>
  <dimension ref="A1:I11"/>
  <sheetViews>
    <sheetView workbookViewId="0">
      <selection activeCell="B21" sqref="B21"/>
    </sheetView>
  </sheetViews>
  <sheetFormatPr defaultColWidth="11.42578125" defaultRowHeight="15" x14ac:dyDescent="0.25"/>
  <cols>
    <col min="1" max="1" width="18.140625" customWidth="1"/>
    <col min="2" max="2" width="12.85546875" customWidth="1"/>
    <col min="3" max="4" width="11.140625" customWidth="1"/>
    <col min="5" max="5" width="11" customWidth="1"/>
    <col min="6" max="6" width="14.140625" customWidth="1"/>
    <col min="7" max="7" width="11.5703125" customWidth="1"/>
    <col min="8" max="8" width="18.5703125" customWidth="1"/>
    <col min="9" max="9" width="15" customWidth="1"/>
  </cols>
  <sheetData>
    <row r="1" spans="1:9" ht="39.75" customHeight="1" x14ac:dyDescent="0.25">
      <c r="A1" s="77" t="s">
        <v>351</v>
      </c>
      <c r="B1" s="77"/>
      <c r="C1" s="77"/>
      <c r="D1" s="77"/>
      <c r="E1" s="77"/>
      <c r="F1" s="77"/>
      <c r="G1" s="78"/>
      <c r="H1" s="77"/>
      <c r="I1" s="77"/>
    </row>
    <row r="2" spans="1:9" ht="39.75" customHeight="1" thickBot="1" x14ac:dyDescent="0.3">
      <c r="A2" s="3" t="s">
        <v>28</v>
      </c>
      <c r="B2" s="3" t="s">
        <v>2</v>
      </c>
      <c r="C2" s="2" t="s">
        <v>285</v>
      </c>
      <c r="D2" s="3" t="s">
        <v>345</v>
      </c>
      <c r="E2" s="2" t="s">
        <v>346</v>
      </c>
      <c r="F2" s="3" t="s">
        <v>347</v>
      </c>
      <c r="G2" s="3" t="s">
        <v>348</v>
      </c>
      <c r="H2" s="3" t="s">
        <v>349</v>
      </c>
      <c r="I2" s="3" t="s">
        <v>350</v>
      </c>
    </row>
    <row r="3" spans="1:9" x14ac:dyDescent="0.25">
      <c r="A3" s="88">
        <v>6404062</v>
      </c>
      <c r="B3" s="88" t="s">
        <v>353</v>
      </c>
      <c r="C3" s="88" t="s">
        <v>362</v>
      </c>
      <c r="D3" s="88" t="s">
        <v>286</v>
      </c>
      <c r="E3" s="88" t="s">
        <v>304</v>
      </c>
      <c r="F3" s="88">
        <v>10000000</v>
      </c>
      <c r="G3" s="89">
        <v>43755</v>
      </c>
      <c r="H3" s="89">
        <v>43759</v>
      </c>
      <c r="I3" s="88">
        <v>4.2238496999999997</v>
      </c>
    </row>
    <row r="4" spans="1:9" x14ac:dyDescent="0.25">
      <c r="A4" s="88">
        <v>567</v>
      </c>
      <c r="B4" s="88" t="s">
        <v>353</v>
      </c>
      <c r="C4" s="88" t="s">
        <v>366</v>
      </c>
      <c r="D4" s="88" t="s">
        <v>287</v>
      </c>
      <c r="E4" s="88" t="s">
        <v>304</v>
      </c>
      <c r="F4" s="88">
        <v>500000</v>
      </c>
      <c r="G4" s="89">
        <v>43773</v>
      </c>
      <c r="H4" s="89">
        <v>43775</v>
      </c>
      <c r="I4" s="88">
        <v>1230.54621</v>
      </c>
    </row>
    <row r="5" spans="1:9" x14ac:dyDescent="0.25">
      <c r="A5" s="88">
        <v>23498</v>
      </c>
      <c r="B5" s="88" t="s">
        <v>353</v>
      </c>
      <c r="C5" s="88" t="s">
        <v>365</v>
      </c>
      <c r="D5" s="88" t="s">
        <v>287</v>
      </c>
      <c r="E5" s="88" t="s">
        <v>304</v>
      </c>
      <c r="F5" s="88">
        <v>10000000</v>
      </c>
      <c r="G5" s="89">
        <v>43844</v>
      </c>
      <c r="H5" s="89">
        <v>43846</v>
      </c>
      <c r="I5" s="88">
        <v>76.286519999999996</v>
      </c>
    </row>
    <row r="6" spans="1:9" x14ac:dyDescent="0.25">
      <c r="A6" s="88">
        <v>656062</v>
      </c>
      <c r="B6" s="88" t="s">
        <v>353</v>
      </c>
      <c r="C6" s="88" t="s">
        <v>367</v>
      </c>
      <c r="D6" s="88" t="s">
        <v>286</v>
      </c>
      <c r="E6" s="88" t="s">
        <v>304</v>
      </c>
      <c r="F6" s="88">
        <v>750000</v>
      </c>
      <c r="G6" s="89">
        <v>43634</v>
      </c>
      <c r="H6" s="89">
        <v>43636</v>
      </c>
      <c r="I6" s="88">
        <v>30.981242999999999</v>
      </c>
    </row>
    <row r="7" spans="1:9" x14ac:dyDescent="0.25">
      <c r="A7" s="88">
        <v>6404098</v>
      </c>
      <c r="B7" s="88" t="s">
        <v>353</v>
      </c>
      <c r="C7" s="88" t="s">
        <v>363</v>
      </c>
      <c r="D7" s="88" t="s">
        <v>287</v>
      </c>
      <c r="E7" s="88" t="s">
        <v>304</v>
      </c>
      <c r="F7" s="88">
        <v>25000</v>
      </c>
      <c r="G7" s="89">
        <v>43530</v>
      </c>
      <c r="H7" s="89">
        <v>43532</v>
      </c>
      <c r="I7" s="88">
        <v>857.98324000000002</v>
      </c>
    </row>
    <row r="8" spans="1:9" x14ac:dyDescent="0.25">
      <c r="A8" s="88">
        <v>23987</v>
      </c>
      <c r="B8" s="88" t="s">
        <v>353</v>
      </c>
      <c r="C8" s="88" t="s">
        <v>364</v>
      </c>
      <c r="D8" s="88" t="s">
        <v>286</v>
      </c>
      <c r="E8" s="88" t="s">
        <v>304</v>
      </c>
      <c r="F8" s="88">
        <v>20000000</v>
      </c>
      <c r="G8" s="89">
        <v>43754</v>
      </c>
      <c r="H8" s="89">
        <v>43756</v>
      </c>
      <c r="I8" s="88">
        <v>15353.367</v>
      </c>
    </row>
    <row r="11" spans="1:9" x14ac:dyDescent="0.25">
      <c r="A11" s="24" t="s">
        <v>73</v>
      </c>
    </row>
  </sheetData>
  <pageMargins left="0.7" right="0.7" top="0.75" bottom="0.75" header="0.3" footer="0.3"/>
  <pageSetup paperSize="9" orientation="portrait" verticalDpi="599" r:id="rId1"/>
  <headerFooter>
    <oddFooter>&amp;C&amp;1#&amp;"Calibri"&amp;10&amp;K000000Internal</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T0FBRFxwbTM1ODwvVXNlck5hbWU+PERhdGVUaW1lPjE3LUphbi0xOCAxNjoxMzoyNjwvRGF0ZVRpbWU+PExhYmVsU3RyaW5nPkludGVybmFsPC9MYWJlbFN0cmluZz48L2l0ZW0+PC9sYWJlbEhpc3Rvcnk+</Value>
</WrappedLabelHistory>
</file>

<file path=customXml/item3.xml><?xml version="1.0" encoding="utf-8"?>
<ct:contentTypeSchema xmlns:ct="http://schemas.microsoft.com/office/2006/metadata/contentType" xmlns:ma="http://schemas.microsoft.com/office/2006/metadata/properties/metaAttributes" ct:_="" ma:_="" ma:contentTypeName="Document" ma:contentTypeID="0x010100EC6854D2AC3901498BB8C843370A0384" ma:contentTypeVersion="6" ma:contentTypeDescription="Create a new document." ma:contentTypeScope="" ma:versionID="4adcb5349942c41da8e88a2fbe4f07e7">
  <xsd:schema xmlns:xsd="http://www.w3.org/2001/XMLSchema" xmlns:xs="http://www.w3.org/2001/XMLSchema" xmlns:p="http://schemas.microsoft.com/office/2006/metadata/properties" xmlns:ns2="330C7A84-7C0D-4A70-8923-9055A68F330F" xmlns:ns3="330c7a84-7c0d-4a70-8923-9055a68f330f" targetNamespace="http://schemas.microsoft.com/office/2006/metadata/properties" ma:root="true" ma:fieldsID="acb0fbe195ce08b2c915cf9d3c6b6689" ns2:_="" ns3:_="">
    <xsd:import namespace="330C7A84-7C0D-4A70-8923-9055A68F330F"/>
    <xsd:import namespace="330c7a84-7c0d-4a70-8923-9055a68f330f"/>
    <xsd:element name="properties">
      <xsd:complexType>
        <xsd:sequence>
          <xsd:element name="documentManagement">
            <xsd:complexType>
              <xsd:all>
                <xsd:element ref="ns2:MediaServiceMetadata" minOccurs="0"/>
                <xsd:element ref="ns2: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30C7A84-7C0D-4A70-8923-9055A68F330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30c7a84-7c0d-4a70-8923-9055a68f330f" elementFormDefault="qualified">
    <xsd:import namespace="http://schemas.microsoft.com/office/2006/documentManagement/types"/>
    <xsd:import namespace="http://schemas.microsoft.com/office/infopath/2007/PartnerControls"/>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5.xml><?xml version="1.0" encoding="utf-8"?>
<sisl xmlns:xsi="http://www.w3.org/2001/XMLSchema-instance" xmlns:xsd="http://www.w3.org/2001/XMLSchema" xmlns="http://www.boldonjames.com/2008/01/sie/internal/label" sislVersion="0" policy="5e216652-7cb1-42d3-a22f-fb5c7f348db5" origin="userSelected">
  <element uid="id_classification_internalonly" value=""/>
</sisl>
</file>

<file path=customXml/item6.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T0FBRFxwbTM1ODwvVXNlck5hbWU+PERhdGVUaW1lPjI0LjAzLjIwMjEgMTY6Mzk6MDQ8L0RhdGVUaW1lPjxMYWJlbFN0cmluZz5JbnRlcm5hbDwvTGFiZWxTdHJpbmc+PC9pdGVtPjwvbGFiZWxIaXN0b3J5Pg==</Value>
</WrappedLabelHistory>
</file>

<file path=customXml/itemProps1.xml><?xml version="1.0" encoding="utf-8"?>
<ds:datastoreItem xmlns:ds="http://schemas.openxmlformats.org/officeDocument/2006/customXml" ds:itemID="{3E68FAD6-6A48-4882-B3BF-4FD69C37B13B}">
  <ds:schemaRefs>
    <ds:schemaRef ds:uri="http://schemas.microsoft.com/sharepoint/v3/contenttype/forms"/>
  </ds:schemaRefs>
</ds:datastoreItem>
</file>

<file path=customXml/itemProps2.xml><?xml version="1.0" encoding="utf-8"?>
<ds:datastoreItem xmlns:ds="http://schemas.openxmlformats.org/officeDocument/2006/customXml" ds:itemID="{DA3B5A6D-597F-416D-8976-FEAA8240BE13}">
  <ds:schemaRefs>
    <ds:schemaRef ds:uri="http://www.w3.org/2001/XMLSchema"/>
    <ds:schemaRef ds:uri="http://www.boldonjames.com/2016/02/Classifier/internal/wrappedLabelHistory"/>
  </ds:schemaRefs>
</ds:datastoreItem>
</file>

<file path=customXml/itemProps3.xml><?xml version="1.0" encoding="utf-8"?>
<ds:datastoreItem xmlns:ds="http://schemas.openxmlformats.org/officeDocument/2006/customXml" ds:itemID="{4E5C5E50-D362-4238-918F-7BB48415D89A}"/>
</file>

<file path=customXml/itemProps4.xml><?xml version="1.0" encoding="utf-8"?>
<ds:datastoreItem xmlns:ds="http://schemas.openxmlformats.org/officeDocument/2006/customXml" ds:itemID="{594CC977-A58B-4B3A-BF60-A64AB8A272B0}">
  <ds:schemaRefs>
    <ds:schemaRef ds:uri="http://schemas.microsoft.com/office/2006/metadata/properties"/>
    <ds:schemaRef ds:uri="http://schemas.microsoft.com/office/infopath/2007/PartnerControls"/>
  </ds:schemaRefs>
</ds:datastoreItem>
</file>

<file path=customXml/itemProps5.xml><?xml version="1.0" encoding="utf-8"?>
<ds:datastoreItem xmlns:ds="http://schemas.openxmlformats.org/officeDocument/2006/customXml" ds:itemID="{45D849D4-5F06-4643-9AEB-4218D2790D19}">
  <ds:schemaRefs>
    <ds:schemaRef ds:uri="http://www.w3.org/2001/XMLSchema"/>
    <ds:schemaRef ds:uri="http://www.boldonjames.com/2008/01/sie/internal/label"/>
  </ds:schemaRefs>
</ds:datastoreItem>
</file>

<file path=customXml/itemProps6.xml><?xml version="1.0" encoding="utf-8"?>
<ds:datastoreItem xmlns:ds="http://schemas.openxmlformats.org/officeDocument/2006/customXml" ds:itemID="{8DE0822B-9CA3-4062-83A4-7EBF476340F9}">
  <ds:schemaRefs>
    <ds:schemaRef ds:uri="http://www.w3.org/2001/XMLSchema"/>
    <ds:schemaRef ds:uri="http://www.boldonjames.com/2016/02/Classifier/internal/wrappedLabelHistory"/>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Title page</vt:lpstr>
      <vt:lpstr>Change log</vt:lpstr>
      <vt:lpstr>OTC portfolio template</vt:lpstr>
      <vt:lpstr>Sheet3</vt:lpstr>
      <vt:lpstr>IRS</vt:lpstr>
      <vt:lpstr>Trades with stubs</vt:lpstr>
      <vt:lpstr>ZC Swap</vt:lpstr>
      <vt:lpstr>FRA</vt:lpstr>
      <vt:lpstr>VNS</vt:lpstr>
      <vt:lpstr>OIS</vt:lpstr>
      <vt:lpstr>Basis swap</vt:lpstr>
      <vt:lpstr>ZCIS</vt:lpstr>
      <vt:lpstr>SCIS</vt:lpstr>
      <vt:lpstr>Trade Insert</vt:lpstr>
      <vt:lpstr>FI_EQ Template</vt:lpstr>
      <vt:lpstr>(Flex) Futures</vt:lpstr>
      <vt:lpstr>Swap Futures</vt:lpstr>
      <vt:lpstr>(Flex) Options</vt:lpstr>
      <vt:lpstr>Listed product portfolio</vt:lpstr>
      <vt:lpstr>OTC Sensitivities Template</vt:lpstr>
      <vt:lpstr>FXNDF Template</vt:lpstr>
      <vt:lpstr>FXNDF</vt:lpstr>
      <vt:lpstr>IRS!_ftn1</vt:lpstr>
      <vt:lpstr>'Trades with stubs'!_ftn1</vt:lpstr>
      <vt:lpstr>IRS!_ftn2</vt:lpstr>
      <vt:lpstr>'Trades with stubs'!_ftn2</vt:lpstr>
      <vt:lpstr>IRS!_ftn3</vt:lpstr>
      <vt:lpstr>'Trades with stubs'!_ftn3</vt:lpstr>
      <vt:lpstr>IRS!_ftnref1</vt:lpstr>
      <vt:lpstr>'Trades with stubs'!_ftnref1</vt:lpstr>
      <vt:lpstr>IRS!_ftnref2</vt:lpstr>
      <vt:lpstr>'Trades with stubs'!_ftnref2</vt:lpstr>
      <vt:lpstr>IRS!_ftnref3</vt:lpstr>
      <vt:lpstr>'Trades with stubs'!_ftnref3</vt:lpstr>
      <vt:lpstr>IRS!_Ref329849938</vt:lpstr>
      <vt:lpstr>'Trades with stubs'!_Ref329849938</vt:lpstr>
      <vt:lpstr>L13xl56</vt:lpstr>
    </vt:vector>
  </TitlesOfParts>
  <Company>Deutsche Börse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Printed>2014-03-13T08:14:19Z</cp:lastPrinted>
  <dcterms:created xsi:type="dcterms:W3CDTF">2012-11-15T15:43:41Z</dcterms:created>
  <dcterms:modified xsi:type="dcterms:W3CDTF">2025-08-27T08:22:46Z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e787cc7d-b8c5-4850-8803-2ff27302cdb0</vt:lpwstr>
  </property>
  <property fmtid="{D5CDD505-2E9C-101B-9397-08002B2CF9AE}" pid="3" name="bjSaver">
    <vt:lpwstr>ybrnakrfppKPa7DTntLIz3f4Wo7ZCgsS</vt:lpwstr>
  </property>
  <property fmtid="{D5CDD505-2E9C-101B-9397-08002B2CF9AE}" pid="4" name="bjDocumentLabelXML">
    <vt:lpwstr>&lt;?xml version="1.0" encoding="us-ascii"?&gt;&lt;sisl xmlns:xsi="http://www.w3.org/2001/XMLSchema-instance" xmlns:xsd="http://www.w3.org/2001/XMLSchema" sislVersion="0" policy="5e216652-7cb1-42d3-a22f-fb5c7f348db5" origin="userSelected" xmlns="http://www.boldonj</vt:lpwstr>
  </property>
  <property fmtid="{D5CDD505-2E9C-101B-9397-08002B2CF9AE}" pid="5" name="bjDocumentLabelXML-0">
    <vt:lpwstr>ames.com/2008/01/sie/internal/label"&gt;&lt;element uid="id_classification_internalonly" value="" /&gt;&lt;/sisl&gt;</vt:lpwstr>
  </property>
  <property fmtid="{D5CDD505-2E9C-101B-9397-08002B2CF9AE}" pid="6" name="bjDocumentSecurityLabel">
    <vt:lpwstr>Internal</vt:lpwstr>
  </property>
  <property fmtid="{D5CDD505-2E9C-101B-9397-08002B2CF9AE}" pid="7" name="DBG_Classification_ID">
    <vt:lpwstr>2</vt:lpwstr>
  </property>
  <property fmtid="{D5CDD505-2E9C-101B-9397-08002B2CF9AE}" pid="8" name="DBG_Classification_Name">
    <vt:lpwstr>Internal</vt:lpwstr>
  </property>
  <property fmtid="{D5CDD505-2E9C-101B-9397-08002B2CF9AE}" pid="9" name="bjLabelHistoryID">
    <vt:lpwstr>{2868AB69-222B-46B0-8065-DBC43D0A6686}</vt:lpwstr>
  </property>
  <property fmtid="{D5CDD505-2E9C-101B-9397-08002B2CF9AE}" pid="10" name="MSIP_Label_2e952e98-911c-4aff-840a-f71bc6baaf7f_Enabled">
    <vt:lpwstr>true</vt:lpwstr>
  </property>
  <property fmtid="{D5CDD505-2E9C-101B-9397-08002B2CF9AE}" pid="11" name="MSIP_Label_2e952e98-911c-4aff-840a-f71bc6baaf7f_SetDate">
    <vt:lpwstr>2023-08-10T13:53:49Z</vt:lpwstr>
  </property>
  <property fmtid="{D5CDD505-2E9C-101B-9397-08002B2CF9AE}" pid="12" name="MSIP_Label_2e952e98-911c-4aff-840a-f71bc6baaf7f_Method">
    <vt:lpwstr>Standard</vt:lpwstr>
  </property>
  <property fmtid="{D5CDD505-2E9C-101B-9397-08002B2CF9AE}" pid="13" name="MSIP_Label_2e952e98-911c-4aff-840a-f71bc6baaf7f_Name">
    <vt:lpwstr>2e952e98-911c-4aff-840a-f71bc6baaf7f</vt:lpwstr>
  </property>
  <property fmtid="{D5CDD505-2E9C-101B-9397-08002B2CF9AE}" pid="14" name="MSIP_Label_2e952e98-911c-4aff-840a-f71bc6baaf7f_SiteId">
    <vt:lpwstr>e00ddcdf-1e0f-4be5-a37a-894a4731986a</vt:lpwstr>
  </property>
  <property fmtid="{D5CDD505-2E9C-101B-9397-08002B2CF9AE}" pid="15" name="MSIP_Label_2e952e98-911c-4aff-840a-f71bc6baaf7f_ActionId">
    <vt:lpwstr>8465dfff-9376-4eb2-a4d5-88cfd88fc212</vt:lpwstr>
  </property>
  <property fmtid="{D5CDD505-2E9C-101B-9397-08002B2CF9AE}" pid="16" name="MSIP_Label_2e952e98-911c-4aff-840a-f71bc6baaf7f_ContentBits">
    <vt:lpwstr>2</vt:lpwstr>
  </property>
  <property fmtid="{D5CDD505-2E9C-101B-9397-08002B2CF9AE}" pid="17" name="ContentTypeId">
    <vt:lpwstr>0x010100EC6854D2AC3901498BB8C843370A0384</vt:lpwstr>
  </property>
</Properties>
</file>